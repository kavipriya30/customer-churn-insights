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ummary_Dashboard" sheetId="1" r:id="rId1"/>
    <sheet name="Cleaned_Data" sheetId="2" r:id="rId2"/>
    <sheet name="Churn_by_Plan" sheetId="3" r:id="rId3"/>
    <sheet name="Churn_by_Tenure" sheetId="4" r:id="rId4"/>
    <sheet name="Complaint_Analysis" sheetId="5" r:id="rId5"/>
    <sheet name="Payment_Behavior" sheetId="6" r:id="rId6"/>
    <sheet name="Regional_Comparison" sheetId="7" r:id="rId7"/>
    <sheet name="Customer_Segments" sheetId="8" r:id="rId8"/>
    <sheet name="Formula_Analysis" sheetId="9" r:id="rId9"/>
    <sheet name="Feature_Importance" sheetId="10" r:id="rId10"/>
    <sheet name="Read_Me" sheetId="11" r:id="rId11"/>
    <sheet name="Pivot_Churn_Plan" sheetId="12" r:id="rId12"/>
    <sheet name="Pivot_Churn_Tenure" sheetId="13" r:id="rId13"/>
    <sheet name="Pivot_Complaints" sheetId="14" r:id="rId14"/>
    <sheet name="Pivot_Payment" sheetId="15" r:id="rId15"/>
    <sheet name="Pivot_Region" sheetId="16" r:id="rId16"/>
    <sheet name="Pivot_Segments" sheetId="17" r:id="rId17"/>
  </sheets>
  <definedNames>
    <definedName name="_xlnm._FilterDatabase" localSheetId="1" hidden="1">Cleaned_Data!$A$4:$X$1004</definedName>
  </definedNames>
  <calcPr calcId="191029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<sst xmlns="http://schemas.openxmlformats.org/spreadsheetml/2006/main" count="7278" uniqueCount="1178">
  <si>
    <t>CH02 | CUSTOMER CHURN INSIGHT</t>
  </si>
  <si>
    <t>Excel analysis workbook | ConnectSphere Telecom practice dataset | Summary metrics and evidence-based analysis</t>
  </si>
  <si>
    <t>Total Customers</t>
  </si>
  <si>
    <t>Churned Customers</t>
  </si>
  <si>
    <t>Retained Customers</t>
  </si>
  <si>
    <t>Overall Churn Rate</t>
  </si>
  <si>
    <t>KEY FINDINGS FROM THE DATA</t>
  </si>
  <si>
    <t>Finding</t>
  </si>
  <si>
    <t>Observed result</t>
  </si>
  <si>
    <t>Interpretation / follow-up</t>
  </si>
  <si>
    <t>Plan with highest churn rate</t>
  </si>
  <si>
    <t>Premium (36.0%)</t>
  </si>
  <si>
    <t>Review plan features, pricing and value perception for this group.</t>
  </si>
  <si>
    <t>Tenure group with highest churn rate</t>
  </si>
  <si>
    <t>New (1-6m) (53.8%)</t>
  </si>
  <si>
    <t>Consider onboarding or retention support for this tenure segment.</t>
  </si>
  <si>
    <t>Region with highest churn rate</t>
  </si>
  <si>
    <t>Unknown (40.0%)</t>
  </si>
  <si>
    <t>Investigate local service quality and customer feedback.</t>
  </si>
  <si>
    <t>Average complaints: churned vs retained</t>
  </si>
  <si>
    <t>0.75 vs 0.58</t>
  </si>
  <si>
    <t>Review complaint resolution and recurring support issues.</t>
  </si>
  <si>
    <t>RECOMMENDATIONS</t>
  </si>
  <si>
    <t>1. Prioritize retention outreach for the plan, tenure and region groups with the highest observed churn rates.</t>
  </si>
  <si>
    <t>2. Review complaint patterns, resolution time and network issues to identify service problems that may need management attention.</t>
  </si>
  <si>
    <t>3. Monitor the model's recall and F1-score; do not use predictions alone to make customer decisions.</t>
  </si>
  <si>
    <t>Cleaned Customer Churn Dataset</t>
  </si>
  <si>
    <t>Prepared dataset supplied for the CH02 practice analysis. One row represents a customer.</t>
  </si>
  <si>
    <t>customer_id</t>
  </si>
  <si>
    <t>age</t>
  </si>
  <si>
    <t>tenure</t>
  </si>
  <si>
    <t>plan</t>
  </si>
  <si>
    <t>region</t>
  </si>
  <si>
    <t>churn</t>
  </si>
  <si>
    <t>voice_minutes</t>
  </si>
  <si>
    <t>data_gb</t>
  </si>
  <si>
    <t>sms_count</t>
  </si>
  <si>
    <t>monthly_charges</t>
  </si>
  <si>
    <t>late_payments</t>
  </si>
  <si>
    <t>payment_status</t>
  </si>
  <si>
    <t>complaints</t>
  </si>
  <si>
    <t>support_tickets</t>
  </si>
  <si>
    <t>avg_resolution_hours</t>
  </si>
  <si>
    <t>network_issues</t>
  </si>
  <si>
    <t>outages</t>
  </si>
  <si>
    <t>plan_changes</t>
  </si>
  <si>
    <t>tenure_group</t>
  </si>
  <si>
    <t>complaint_flag</t>
  </si>
  <si>
    <t>late_payment_flag</t>
  </si>
  <si>
    <t>low_data_usage_flag</t>
  </si>
  <si>
    <t>churn_binary</t>
  </si>
  <si>
    <t>predicted_churn</t>
  </si>
  <si>
    <t>CS10000</t>
  </si>
  <si>
    <t>Basic</t>
  </si>
  <si>
    <t>West</t>
  </si>
  <si>
    <t>Yes</t>
  </si>
  <si>
    <t>Late</t>
  </si>
  <si>
    <t>Medium (7-24m)</t>
  </si>
  <si>
    <t>No</t>
  </si>
  <si>
    <t>CS10001</t>
  </si>
  <si>
    <t>Standard</t>
  </si>
  <si>
    <t>South</t>
  </si>
  <si>
    <t>On-time</t>
  </si>
  <si>
    <t>Long-term (25m+)</t>
  </si>
  <si>
    <t>CS10002</t>
  </si>
  <si>
    <t>Central</t>
  </si>
  <si>
    <t>New (1-6m)</t>
  </si>
  <si>
    <t>CS10003</t>
  </si>
  <si>
    <t>CS10004</t>
  </si>
  <si>
    <t>North</t>
  </si>
  <si>
    <t>CS10005</t>
  </si>
  <si>
    <t>CS10006</t>
  </si>
  <si>
    <t>Premium</t>
  </si>
  <si>
    <t>CS10007</t>
  </si>
  <si>
    <t>CS10008</t>
  </si>
  <si>
    <t>CS10009</t>
  </si>
  <si>
    <t>East</t>
  </si>
  <si>
    <t>CS10010</t>
  </si>
  <si>
    <t>CS10011</t>
  </si>
  <si>
    <t>CS10012</t>
  </si>
  <si>
    <t>CS10013</t>
  </si>
  <si>
    <t>CS10014</t>
  </si>
  <si>
    <t>CS10015</t>
  </si>
  <si>
    <t>CS10016</t>
  </si>
  <si>
    <t>CS10017</t>
  </si>
  <si>
    <t>CS10018</t>
  </si>
  <si>
    <t>CS10019</t>
  </si>
  <si>
    <t>CS10020</t>
  </si>
  <si>
    <t>CS10021</t>
  </si>
  <si>
    <t>CS10022</t>
  </si>
  <si>
    <t>CS10023</t>
  </si>
  <si>
    <t>CS10024</t>
  </si>
  <si>
    <t>CS10025</t>
  </si>
  <si>
    <t>CS10026</t>
  </si>
  <si>
    <t>CS10027</t>
  </si>
  <si>
    <t>CS10028</t>
  </si>
  <si>
    <t>CS10029</t>
  </si>
  <si>
    <t>CS10030</t>
  </si>
  <si>
    <t>CS10031</t>
  </si>
  <si>
    <t>CS10032</t>
  </si>
  <si>
    <t>CS10033</t>
  </si>
  <si>
    <t>CS10034</t>
  </si>
  <si>
    <t>CS10035</t>
  </si>
  <si>
    <t>CS10036</t>
  </si>
  <si>
    <t>CS10037</t>
  </si>
  <si>
    <t>CS10038</t>
  </si>
  <si>
    <t>CS10039</t>
  </si>
  <si>
    <t>CS10040</t>
  </si>
  <si>
    <t>CS10041</t>
  </si>
  <si>
    <t>CS10042</t>
  </si>
  <si>
    <t>CS10043</t>
  </si>
  <si>
    <t>CS10044</t>
  </si>
  <si>
    <t>CS10045</t>
  </si>
  <si>
    <t>CS10046</t>
  </si>
  <si>
    <t>CS10047</t>
  </si>
  <si>
    <t>CS10048</t>
  </si>
  <si>
    <t>CS10049</t>
  </si>
  <si>
    <t>Unknown</t>
  </si>
  <si>
    <t>CS10050</t>
  </si>
  <si>
    <t>CS10051</t>
  </si>
  <si>
    <t>CS10052</t>
  </si>
  <si>
    <t>CS10053</t>
  </si>
  <si>
    <t>CS10054</t>
  </si>
  <si>
    <t>CS10055</t>
  </si>
  <si>
    <t>CS10056</t>
  </si>
  <si>
    <t>CS10057</t>
  </si>
  <si>
    <t>CS10058</t>
  </si>
  <si>
    <t>CS10059</t>
  </si>
  <si>
    <t>CS10060</t>
  </si>
  <si>
    <t>CS10061</t>
  </si>
  <si>
    <t>CS10062</t>
  </si>
  <si>
    <t>CS10063</t>
  </si>
  <si>
    <t>CS10064</t>
  </si>
  <si>
    <t>CS10065</t>
  </si>
  <si>
    <t>CS10066</t>
  </si>
  <si>
    <t>CS10067</t>
  </si>
  <si>
    <t>CS10068</t>
  </si>
  <si>
    <t>CS10069</t>
  </si>
  <si>
    <t>CS10070</t>
  </si>
  <si>
    <t>CS10071</t>
  </si>
  <si>
    <t>CS10072</t>
  </si>
  <si>
    <t>CS10073</t>
  </si>
  <si>
    <t>CS10074</t>
  </si>
  <si>
    <t>CS10075</t>
  </si>
  <si>
    <t>CS10076</t>
  </si>
  <si>
    <t>CS10077</t>
  </si>
  <si>
    <t>CS10078</t>
  </si>
  <si>
    <t>CS10079</t>
  </si>
  <si>
    <t>CS10080</t>
  </si>
  <si>
    <t>CS10081</t>
  </si>
  <si>
    <t>CS10082</t>
  </si>
  <si>
    <t>CS10083</t>
  </si>
  <si>
    <t>CS10084</t>
  </si>
  <si>
    <t>CS10085</t>
  </si>
  <si>
    <t>CS10086</t>
  </si>
  <si>
    <t>CS10087</t>
  </si>
  <si>
    <t>CS10088</t>
  </si>
  <si>
    <t>CS10089</t>
  </si>
  <si>
    <t>CS10090</t>
  </si>
  <si>
    <t>CS10091</t>
  </si>
  <si>
    <t>CS10092</t>
  </si>
  <si>
    <t>CS10093</t>
  </si>
  <si>
    <t>CS10094</t>
  </si>
  <si>
    <t>CS10095</t>
  </si>
  <si>
    <t>CS10096</t>
  </si>
  <si>
    <t>CS10097</t>
  </si>
  <si>
    <t>CS10098</t>
  </si>
  <si>
    <t>CS10099</t>
  </si>
  <si>
    <t>CS10100</t>
  </si>
  <si>
    <t>CS10101</t>
  </si>
  <si>
    <t>CS10102</t>
  </si>
  <si>
    <t>CS10103</t>
  </si>
  <si>
    <t>CS10104</t>
  </si>
  <si>
    <t>CS10105</t>
  </si>
  <si>
    <t>CS10106</t>
  </si>
  <si>
    <t>CS10107</t>
  </si>
  <si>
    <t>CS10108</t>
  </si>
  <si>
    <t>CS10109</t>
  </si>
  <si>
    <t>CS10110</t>
  </si>
  <si>
    <t>CS10111</t>
  </si>
  <si>
    <t>CS10112</t>
  </si>
  <si>
    <t>CS10113</t>
  </si>
  <si>
    <t>CS10114</t>
  </si>
  <si>
    <t>CS10115</t>
  </si>
  <si>
    <t>CS10116</t>
  </si>
  <si>
    <t>CS10117</t>
  </si>
  <si>
    <t>CS10118</t>
  </si>
  <si>
    <t>CS10119</t>
  </si>
  <si>
    <t>CS10120</t>
  </si>
  <si>
    <t>CS10121</t>
  </si>
  <si>
    <t>CS10122</t>
  </si>
  <si>
    <t>CS10123</t>
  </si>
  <si>
    <t>CS10124</t>
  </si>
  <si>
    <t>CS10125</t>
  </si>
  <si>
    <t>CS10126</t>
  </si>
  <si>
    <t>CS10127</t>
  </si>
  <si>
    <t>CS10128</t>
  </si>
  <si>
    <t>CS10129</t>
  </si>
  <si>
    <t>CS10130</t>
  </si>
  <si>
    <t>CS10131</t>
  </si>
  <si>
    <t>CS10132</t>
  </si>
  <si>
    <t>CS10133</t>
  </si>
  <si>
    <t>CS10134</t>
  </si>
  <si>
    <t>CS10135</t>
  </si>
  <si>
    <t>CS10136</t>
  </si>
  <si>
    <t>CS10137</t>
  </si>
  <si>
    <t>CS10138</t>
  </si>
  <si>
    <t>CS10139</t>
  </si>
  <si>
    <t>CS10140</t>
  </si>
  <si>
    <t>CS10141</t>
  </si>
  <si>
    <t>CS10142</t>
  </si>
  <si>
    <t>CS10143</t>
  </si>
  <si>
    <t>CS10144</t>
  </si>
  <si>
    <t>CS10145</t>
  </si>
  <si>
    <t>CS10146</t>
  </si>
  <si>
    <t>CS10147</t>
  </si>
  <si>
    <t>CS10148</t>
  </si>
  <si>
    <t>CS10149</t>
  </si>
  <si>
    <t>CS10150</t>
  </si>
  <si>
    <t>CS10151</t>
  </si>
  <si>
    <t>CS10152</t>
  </si>
  <si>
    <t>CS10153</t>
  </si>
  <si>
    <t>CS10154</t>
  </si>
  <si>
    <t>CS10155</t>
  </si>
  <si>
    <t>CS10156</t>
  </si>
  <si>
    <t>CS10157</t>
  </si>
  <si>
    <t>CS10158</t>
  </si>
  <si>
    <t>CS10159</t>
  </si>
  <si>
    <t>CS10160</t>
  </si>
  <si>
    <t>CS10161</t>
  </si>
  <si>
    <t>CS10162</t>
  </si>
  <si>
    <t>CS10163</t>
  </si>
  <si>
    <t>CS10164</t>
  </si>
  <si>
    <t>CS10165</t>
  </si>
  <si>
    <t>CS10166</t>
  </si>
  <si>
    <t>CS10167</t>
  </si>
  <si>
    <t>CS10168</t>
  </si>
  <si>
    <t>CS10169</t>
  </si>
  <si>
    <t>CS10170</t>
  </si>
  <si>
    <t>CS10171</t>
  </si>
  <si>
    <t>CS10172</t>
  </si>
  <si>
    <t>CS10173</t>
  </si>
  <si>
    <t>CS10174</t>
  </si>
  <si>
    <t>CS10175</t>
  </si>
  <si>
    <t>CS10176</t>
  </si>
  <si>
    <t>CS10177</t>
  </si>
  <si>
    <t>CS10178</t>
  </si>
  <si>
    <t>CS10179</t>
  </si>
  <si>
    <t>CS10180</t>
  </si>
  <si>
    <t>CS10181</t>
  </si>
  <si>
    <t>CS10182</t>
  </si>
  <si>
    <t>CS10183</t>
  </si>
  <si>
    <t>CS10184</t>
  </si>
  <si>
    <t>CS10185</t>
  </si>
  <si>
    <t>CS10186</t>
  </si>
  <si>
    <t>CS10187</t>
  </si>
  <si>
    <t>CS10188</t>
  </si>
  <si>
    <t>CS10189</t>
  </si>
  <si>
    <t>CS10190</t>
  </si>
  <si>
    <t>CS10191</t>
  </si>
  <si>
    <t>CS10192</t>
  </si>
  <si>
    <t>CS10193</t>
  </si>
  <si>
    <t>CS10194</t>
  </si>
  <si>
    <t>CS10195</t>
  </si>
  <si>
    <t>CS10196</t>
  </si>
  <si>
    <t>CS10197</t>
  </si>
  <si>
    <t>CS10198</t>
  </si>
  <si>
    <t>CS10199</t>
  </si>
  <si>
    <t>CS10200</t>
  </si>
  <si>
    <t>CS10201</t>
  </si>
  <si>
    <t>CS10202</t>
  </si>
  <si>
    <t>CS10203</t>
  </si>
  <si>
    <t>CS10204</t>
  </si>
  <si>
    <t>CS10205</t>
  </si>
  <si>
    <t>CS10206</t>
  </si>
  <si>
    <t>CS10207</t>
  </si>
  <si>
    <t>CS10208</t>
  </si>
  <si>
    <t>CS10209</t>
  </si>
  <si>
    <t>CS10210</t>
  </si>
  <si>
    <t>CS10211</t>
  </si>
  <si>
    <t>CS10212</t>
  </si>
  <si>
    <t>CS10213</t>
  </si>
  <si>
    <t>CS10214</t>
  </si>
  <si>
    <t>CS10215</t>
  </si>
  <si>
    <t>CS10216</t>
  </si>
  <si>
    <t>CS10217</t>
  </si>
  <si>
    <t>CS10218</t>
  </si>
  <si>
    <t>CS10219</t>
  </si>
  <si>
    <t>CS10220</t>
  </si>
  <si>
    <t>CS10221</t>
  </si>
  <si>
    <t>CS10222</t>
  </si>
  <si>
    <t>CS10223</t>
  </si>
  <si>
    <t>CS10224</t>
  </si>
  <si>
    <t>CS10225</t>
  </si>
  <si>
    <t>CS10226</t>
  </si>
  <si>
    <t>CS10227</t>
  </si>
  <si>
    <t>CS10228</t>
  </si>
  <si>
    <t>CS10229</t>
  </si>
  <si>
    <t>CS10230</t>
  </si>
  <si>
    <t>CS10231</t>
  </si>
  <si>
    <t>CS10232</t>
  </si>
  <si>
    <t>CS10233</t>
  </si>
  <si>
    <t>CS10234</t>
  </si>
  <si>
    <t>CS10235</t>
  </si>
  <si>
    <t>CS10236</t>
  </si>
  <si>
    <t>CS10237</t>
  </si>
  <si>
    <t>CS10238</t>
  </si>
  <si>
    <t>CS10239</t>
  </si>
  <si>
    <t>CS10240</t>
  </si>
  <si>
    <t>CS10241</t>
  </si>
  <si>
    <t>CS10242</t>
  </si>
  <si>
    <t>CS10243</t>
  </si>
  <si>
    <t>CS10244</t>
  </si>
  <si>
    <t>CS10245</t>
  </si>
  <si>
    <t>CS10246</t>
  </si>
  <si>
    <t>CS10247</t>
  </si>
  <si>
    <t>CS10248</t>
  </si>
  <si>
    <t>CS10249</t>
  </si>
  <si>
    <t>CS10250</t>
  </si>
  <si>
    <t>CS10251</t>
  </si>
  <si>
    <t>CS10252</t>
  </si>
  <si>
    <t>CS10253</t>
  </si>
  <si>
    <t>CS10254</t>
  </si>
  <si>
    <t>CS10255</t>
  </si>
  <si>
    <t>CS10256</t>
  </si>
  <si>
    <t>CS10257</t>
  </si>
  <si>
    <t>CS10258</t>
  </si>
  <si>
    <t>CS10259</t>
  </si>
  <si>
    <t>CS10260</t>
  </si>
  <si>
    <t>CS10261</t>
  </si>
  <si>
    <t>CS10262</t>
  </si>
  <si>
    <t>CS10263</t>
  </si>
  <si>
    <t>CS10264</t>
  </si>
  <si>
    <t>CS10265</t>
  </si>
  <si>
    <t>CS10266</t>
  </si>
  <si>
    <t>CS10267</t>
  </si>
  <si>
    <t>CS10268</t>
  </si>
  <si>
    <t>CS10269</t>
  </si>
  <si>
    <t>CS10270</t>
  </si>
  <si>
    <t>CS10271</t>
  </si>
  <si>
    <t>CS10272</t>
  </si>
  <si>
    <t>CS10273</t>
  </si>
  <si>
    <t>CS10274</t>
  </si>
  <si>
    <t>CS10275</t>
  </si>
  <si>
    <t>CS10276</t>
  </si>
  <si>
    <t>CS10277</t>
  </si>
  <si>
    <t>CS10278</t>
  </si>
  <si>
    <t>CS10279</t>
  </si>
  <si>
    <t>CS10280</t>
  </si>
  <si>
    <t>CS10281</t>
  </si>
  <si>
    <t>CS10282</t>
  </si>
  <si>
    <t>CS10283</t>
  </si>
  <si>
    <t>CS10284</t>
  </si>
  <si>
    <t>CS10285</t>
  </si>
  <si>
    <t>CS10286</t>
  </si>
  <si>
    <t>CS10287</t>
  </si>
  <si>
    <t>CS10288</t>
  </si>
  <si>
    <t>CS10289</t>
  </si>
  <si>
    <t>CS10290</t>
  </si>
  <si>
    <t>CS10291</t>
  </si>
  <si>
    <t>CS10292</t>
  </si>
  <si>
    <t>CS10293</t>
  </si>
  <si>
    <t>CS10294</t>
  </si>
  <si>
    <t>CS10295</t>
  </si>
  <si>
    <t>CS10296</t>
  </si>
  <si>
    <t>CS10297</t>
  </si>
  <si>
    <t>CS10298</t>
  </si>
  <si>
    <t>CS10299</t>
  </si>
  <si>
    <t>CS10300</t>
  </si>
  <si>
    <t>CS10301</t>
  </si>
  <si>
    <t>CS10302</t>
  </si>
  <si>
    <t>CS10303</t>
  </si>
  <si>
    <t>CS10304</t>
  </si>
  <si>
    <t>CS10305</t>
  </si>
  <si>
    <t>CS10306</t>
  </si>
  <si>
    <t>CS10307</t>
  </si>
  <si>
    <t>CS10308</t>
  </si>
  <si>
    <t>CS10309</t>
  </si>
  <si>
    <t>CS10310</t>
  </si>
  <si>
    <t>CS10311</t>
  </si>
  <si>
    <t>CS10312</t>
  </si>
  <si>
    <t>CS10313</t>
  </si>
  <si>
    <t>CS10314</t>
  </si>
  <si>
    <t>CS10315</t>
  </si>
  <si>
    <t>CS10316</t>
  </si>
  <si>
    <t>CS10317</t>
  </si>
  <si>
    <t>CS10318</t>
  </si>
  <si>
    <t>CS10319</t>
  </si>
  <si>
    <t>CS10320</t>
  </si>
  <si>
    <t>CS10321</t>
  </si>
  <si>
    <t>CS10322</t>
  </si>
  <si>
    <t>CS10323</t>
  </si>
  <si>
    <t>CS10324</t>
  </si>
  <si>
    <t>CS10325</t>
  </si>
  <si>
    <t>CS10326</t>
  </si>
  <si>
    <t>CS10327</t>
  </si>
  <si>
    <t>CS10328</t>
  </si>
  <si>
    <t>CS10329</t>
  </si>
  <si>
    <t>CS10330</t>
  </si>
  <si>
    <t>CS10331</t>
  </si>
  <si>
    <t>CS10332</t>
  </si>
  <si>
    <t>CS10333</t>
  </si>
  <si>
    <t>CS10334</t>
  </si>
  <si>
    <t>CS10335</t>
  </si>
  <si>
    <t>CS10336</t>
  </si>
  <si>
    <t>CS10337</t>
  </si>
  <si>
    <t>CS10338</t>
  </si>
  <si>
    <t>CS10339</t>
  </si>
  <si>
    <t>CS10340</t>
  </si>
  <si>
    <t>CS10341</t>
  </si>
  <si>
    <t>CS10342</t>
  </si>
  <si>
    <t>CS10343</t>
  </si>
  <si>
    <t>CS10344</t>
  </si>
  <si>
    <t>CS10345</t>
  </si>
  <si>
    <t>CS10346</t>
  </si>
  <si>
    <t>CS10347</t>
  </si>
  <si>
    <t>CS10348</t>
  </si>
  <si>
    <t>CS10349</t>
  </si>
  <si>
    <t>CS10350</t>
  </si>
  <si>
    <t>CS10351</t>
  </si>
  <si>
    <t>CS10352</t>
  </si>
  <si>
    <t>CS10353</t>
  </si>
  <si>
    <t>CS10354</t>
  </si>
  <si>
    <t>CS10355</t>
  </si>
  <si>
    <t>CS10356</t>
  </si>
  <si>
    <t>CS10357</t>
  </si>
  <si>
    <t>CS10358</t>
  </si>
  <si>
    <t>CS10359</t>
  </si>
  <si>
    <t>CS10360</t>
  </si>
  <si>
    <t>CS10361</t>
  </si>
  <si>
    <t>CS10362</t>
  </si>
  <si>
    <t>CS10363</t>
  </si>
  <si>
    <t>CS10364</t>
  </si>
  <si>
    <t>CS10365</t>
  </si>
  <si>
    <t>CS10366</t>
  </si>
  <si>
    <t>CS10367</t>
  </si>
  <si>
    <t>CS10368</t>
  </si>
  <si>
    <t>CS10369</t>
  </si>
  <si>
    <t>CS10370</t>
  </si>
  <si>
    <t>CS10371</t>
  </si>
  <si>
    <t>CS10372</t>
  </si>
  <si>
    <t>CS10373</t>
  </si>
  <si>
    <t>CS10374</t>
  </si>
  <si>
    <t>CS10375</t>
  </si>
  <si>
    <t>CS10376</t>
  </si>
  <si>
    <t>CS10377</t>
  </si>
  <si>
    <t>CS10378</t>
  </si>
  <si>
    <t>CS10379</t>
  </si>
  <si>
    <t>CS10380</t>
  </si>
  <si>
    <t>CS10381</t>
  </si>
  <si>
    <t>CS10382</t>
  </si>
  <si>
    <t>CS10383</t>
  </si>
  <si>
    <t>CS10384</t>
  </si>
  <si>
    <t>CS10385</t>
  </si>
  <si>
    <t>CS10386</t>
  </si>
  <si>
    <t>CS10387</t>
  </si>
  <si>
    <t>CS10388</t>
  </si>
  <si>
    <t>CS10389</t>
  </si>
  <si>
    <t>CS10390</t>
  </si>
  <si>
    <t>CS10391</t>
  </si>
  <si>
    <t>CS10392</t>
  </si>
  <si>
    <t>CS10393</t>
  </si>
  <si>
    <t>CS10394</t>
  </si>
  <si>
    <t>CS10395</t>
  </si>
  <si>
    <t>CS10396</t>
  </si>
  <si>
    <t>CS10397</t>
  </si>
  <si>
    <t>CS10398</t>
  </si>
  <si>
    <t>CS10399</t>
  </si>
  <si>
    <t>CS10400</t>
  </si>
  <si>
    <t>CS10401</t>
  </si>
  <si>
    <t>CS10402</t>
  </si>
  <si>
    <t>CS10403</t>
  </si>
  <si>
    <t>CS10404</t>
  </si>
  <si>
    <t>CS10405</t>
  </si>
  <si>
    <t>CS10406</t>
  </si>
  <si>
    <t>CS10407</t>
  </si>
  <si>
    <t>CS10408</t>
  </si>
  <si>
    <t>CS10409</t>
  </si>
  <si>
    <t>CS10410</t>
  </si>
  <si>
    <t>CS10411</t>
  </si>
  <si>
    <t>CS10412</t>
  </si>
  <si>
    <t>CS10413</t>
  </si>
  <si>
    <t>CS10414</t>
  </si>
  <si>
    <t>CS10415</t>
  </si>
  <si>
    <t>CS10416</t>
  </si>
  <si>
    <t>CS10417</t>
  </si>
  <si>
    <t>CS10418</t>
  </si>
  <si>
    <t>CS10419</t>
  </si>
  <si>
    <t>CS10420</t>
  </si>
  <si>
    <t>CS10421</t>
  </si>
  <si>
    <t>CS10422</t>
  </si>
  <si>
    <t>CS10423</t>
  </si>
  <si>
    <t>CS10424</t>
  </si>
  <si>
    <t>CS10425</t>
  </si>
  <si>
    <t>CS10426</t>
  </si>
  <si>
    <t>CS10427</t>
  </si>
  <si>
    <t>CS10428</t>
  </si>
  <si>
    <t>CS10429</t>
  </si>
  <si>
    <t>CS10430</t>
  </si>
  <si>
    <t>CS10431</t>
  </si>
  <si>
    <t>CS10432</t>
  </si>
  <si>
    <t>CS10433</t>
  </si>
  <si>
    <t>CS10434</t>
  </si>
  <si>
    <t>CS10435</t>
  </si>
  <si>
    <t>CS10436</t>
  </si>
  <si>
    <t>CS10437</t>
  </si>
  <si>
    <t>CS10438</t>
  </si>
  <si>
    <t>CS10439</t>
  </si>
  <si>
    <t>CS10440</t>
  </si>
  <si>
    <t>CS10441</t>
  </si>
  <si>
    <t>CS10442</t>
  </si>
  <si>
    <t>CS10443</t>
  </si>
  <si>
    <t>CS10444</t>
  </si>
  <si>
    <t>CS10445</t>
  </si>
  <si>
    <t>CS10446</t>
  </si>
  <si>
    <t>CS10447</t>
  </si>
  <si>
    <t>CS10448</t>
  </si>
  <si>
    <t>CS10449</t>
  </si>
  <si>
    <t>CS10450</t>
  </si>
  <si>
    <t>CS10451</t>
  </si>
  <si>
    <t>CS10452</t>
  </si>
  <si>
    <t>CS10453</t>
  </si>
  <si>
    <t>CS10454</t>
  </si>
  <si>
    <t>CS10455</t>
  </si>
  <si>
    <t>CS10456</t>
  </si>
  <si>
    <t>CS10457</t>
  </si>
  <si>
    <t>CS10458</t>
  </si>
  <si>
    <t>CS10459</t>
  </si>
  <si>
    <t>CS10460</t>
  </si>
  <si>
    <t>CS10461</t>
  </si>
  <si>
    <t>CS10462</t>
  </si>
  <si>
    <t>CS10463</t>
  </si>
  <si>
    <t>CS10464</t>
  </si>
  <si>
    <t>CS10465</t>
  </si>
  <si>
    <t>CS10466</t>
  </si>
  <si>
    <t>CS10467</t>
  </si>
  <si>
    <t>CS10468</t>
  </si>
  <si>
    <t>CS10469</t>
  </si>
  <si>
    <t>CS10470</t>
  </si>
  <si>
    <t>CS10471</t>
  </si>
  <si>
    <t>CS10472</t>
  </si>
  <si>
    <t>CS10473</t>
  </si>
  <si>
    <t>CS10474</t>
  </si>
  <si>
    <t>CS10475</t>
  </si>
  <si>
    <t>CS10476</t>
  </si>
  <si>
    <t>CS10477</t>
  </si>
  <si>
    <t>CS10478</t>
  </si>
  <si>
    <t>CS10479</t>
  </si>
  <si>
    <t>CS10480</t>
  </si>
  <si>
    <t>CS10481</t>
  </si>
  <si>
    <t>CS10482</t>
  </si>
  <si>
    <t>CS10483</t>
  </si>
  <si>
    <t>CS10484</t>
  </si>
  <si>
    <t>CS10485</t>
  </si>
  <si>
    <t>CS10486</t>
  </si>
  <si>
    <t>CS10487</t>
  </si>
  <si>
    <t>CS10488</t>
  </si>
  <si>
    <t>CS10489</t>
  </si>
  <si>
    <t>CS10490</t>
  </si>
  <si>
    <t>CS10491</t>
  </si>
  <si>
    <t>CS10492</t>
  </si>
  <si>
    <t>CS10493</t>
  </si>
  <si>
    <t>CS10494</t>
  </si>
  <si>
    <t>CS10495</t>
  </si>
  <si>
    <t>CS10496</t>
  </si>
  <si>
    <t>CS10497</t>
  </si>
  <si>
    <t>CS10498</t>
  </si>
  <si>
    <t>CS10499</t>
  </si>
  <si>
    <t>CS10500</t>
  </si>
  <si>
    <t>CS10501</t>
  </si>
  <si>
    <t>CS10502</t>
  </si>
  <si>
    <t>CS10503</t>
  </si>
  <si>
    <t>CS10504</t>
  </si>
  <si>
    <t>CS10505</t>
  </si>
  <si>
    <t>CS10506</t>
  </si>
  <si>
    <t>CS10507</t>
  </si>
  <si>
    <t>CS10508</t>
  </si>
  <si>
    <t>CS10509</t>
  </si>
  <si>
    <t>CS10510</t>
  </si>
  <si>
    <t>CS10511</t>
  </si>
  <si>
    <t>CS10512</t>
  </si>
  <si>
    <t>CS10513</t>
  </si>
  <si>
    <t>CS10514</t>
  </si>
  <si>
    <t>CS10515</t>
  </si>
  <si>
    <t>CS10516</t>
  </si>
  <si>
    <t>CS10517</t>
  </si>
  <si>
    <t>CS10518</t>
  </si>
  <si>
    <t>CS10519</t>
  </si>
  <si>
    <t>CS10520</t>
  </si>
  <si>
    <t>CS10521</t>
  </si>
  <si>
    <t>CS10522</t>
  </si>
  <si>
    <t>CS10523</t>
  </si>
  <si>
    <t>CS10524</t>
  </si>
  <si>
    <t>CS10525</t>
  </si>
  <si>
    <t>CS10526</t>
  </si>
  <si>
    <t>CS10527</t>
  </si>
  <si>
    <t>CS10528</t>
  </si>
  <si>
    <t>CS10529</t>
  </si>
  <si>
    <t>CS10530</t>
  </si>
  <si>
    <t>CS10531</t>
  </si>
  <si>
    <t>CS10532</t>
  </si>
  <si>
    <t>CS10533</t>
  </si>
  <si>
    <t>CS10534</t>
  </si>
  <si>
    <t>CS10535</t>
  </si>
  <si>
    <t>CS10536</t>
  </si>
  <si>
    <t>CS10537</t>
  </si>
  <si>
    <t>CS10538</t>
  </si>
  <si>
    <t>CS10539</t>
  </si>
  <si>
    <t>CS10540</t>
  </si>
  <si>
    <t>CS10541</t>
  </si>
  <si>
    <t>CS10542</t>
  </si>
  <si>
    <t>CS10543</t>
  </si>
  <si>
    <t>CS10544</t>
  </si>
  <si>
    <t>CS10545</t>
  </si>
  <si>
    <t>CS10546</t>
  </si>
  <si>
    <t>CS10547</t>
  </si>
  <si>
    <t>CS10548</t>
  </si>
  <si>
    <t>CS10549</t>
  </si>
  <si>
    <t>CS10550</t>
  </si>
  <si>
    <t>CS10551</t>
  </si>
  <si>
    <t>CS10552</t>
  </si>
  <si>
    <t>CS10553</t>
  </si>
  <si>
    <t>CS10554</t>
  </si>
  <si>
    <t>CS10555</t>
  </si>
  <si>
    <t>CS10556</t>
  </si>
  <si>
    <t>CS10557</t>
  </si>
  <si>
    <t>CS10558</t>
  </si>
  <si>
    <t>CS10559</t>
  </si>
  <si>
    <t>CS10560</t>
  </si>
  <si>
    <t>CS10561</t>
  </si>
  <si>
    <t>CS10562</t>
  </si>
  <si>
    <t>CS10563</t>
  </si>
  <si>
    <t>CS10564</t>
  </si>
  <si>
    <t>CS10565</t>
  </si>
  <si>
    <t>CS10566</t>
  </si>
  <si>
    <t>CS10567</t>
  </si>
  <si>
    <t>CS10568</t>
  </si>
  <si>
    <t>CS10569</t>
  </si>
  <si>
    <t>CS10570</t>
  </si>
  <si>
    <t>CS10571</t>
  </si>
  <si>
    <t>CS10572</t>
  </si>
  <si>
    <t>CS10573</t>
  </si>
  <si>
    <t>CS10574</t>
  </si>
  <si>
    <t>CS10575</t>
  </si>
  <si>
    <t>CS10576</t>
  </si>
  <si>
    <t>CS10577</t>
  </si>
  <si>
    <t>CS10578</t>
  </si>
  <si>
    <t>CS10579</t>
  </si>
  <si>
    <t>CS10580</t>
  </si>
  <si>
    <t>CS10581</t>
  </si>
  <si>
    <t>CS10582</t>
  </si>
  <si>
    <t>CS10583</t>
  </si>
  <si>
    <t>CS10584</t>
  </si>
  <si>
    <t>CS10585</t>
  </si>
  <si>
    <t>CS10586</t>
  </si>
  <si>
    <t>CS10587</t>
  </si>
  <si>
    <t>CS10588</t>
  </si>
  <si>
    <t>CS10589</t>
  </si>
  <si>
    <t>CS10590</t>
  </si>
  <si>
    <t>CS10591</t>
  </si>
  <si>
    <t>CS10592</t>
  </si>
  <si>
    <t>CS10593</t>
  </si>
  <si>
    <t>CS10594</t>
  </si>
  <si>
    <t>CS10595</t>
  </si>
  <si>
    <t>CS10596</t>
  </si>
  <si>
    <t>CS10597</t>
  </si>
  <si>
    <t>CS10598</t>
  </si>
  <si>
    <t>CS10599</t>
  </si>
  <si>
    <t>CS10600</t>
  </si>
  <si>
    <t>CS10601</t>
  </si>
  <si>
    <t>CS10602</t>
  </si>
  <si>
    <t>CS10603</t>
  </si>
  <si>
    <t>CS10604</t>
  </si>
  <si>
    <t>CS10605</t>
  </si>
  <si>
    <t>CS10606</t>
  </si>
  <si>
    <t>CS10607</t>
  </si>
  <si>
    <t>CS10608</t>
  </si>
  <si>
    <t>CS10609</t>
  </si>
  <si>
    <t>CS10610</t>
  </si>
  <si>
    <t>CS10611</t>
  </si>
  <si>
    <t>CS10612</t>
  </si>
  <si>
    <t>CS10613</t>
  </si>
  <si>
    <t>CS10614</t>
  </si>
  <si>
    <t>CS10615</t>
  </si>
  <si>
    <t>CS10616</t>
  </si>
  <si>
    <t>CS10617</t>
  </si>
  <si>
    <t>CS10618</t>
  </si>
  <si>
    <t>CS10619</t>
  </si>
  <si>
    <t>CS10620</t>
  </si>
  <si>
    <t>CS10621</t>
  </si>
  <si>
    <t>CS10622</t>
  </si>
  <si>
    <t>CS10623</t>
  </si>
  <si>
    <t>CS10624</t>
  </si>
  <si>
    <t>CS10625</t>
  </si>
  <si>
    <t>CS10626</t>
  </si>
  <si>
    <t>CS10627</t>
  </si>
  <si>
    <t>CS10628</t>
  </si>
  <si>
    <t>CS10629</t>
  </si>
  <si>
    <t>CS10630</t>
  </si>
  <si>
    <t>CS10631</t>
  </si>
  <si>
    <t>CS10632</t>
  </si>
  <si>
    <t>CS10633</t>
  </si>
  <si>
    <t>CS10634</t>
  </si>
  <si>
    <t>CS10635</t>
  </si>
  <si>
    <t>CS10636</t>
  </si>
  <si>
    <t>CS10637</t>
  </si>
  <si>
    <t>CS10638</t>
  </si>
  <si>
    <t>CS10639</t>
  </si>
  <si>
    <t>CS10640</t>
  </si>
  <si>
    <t>CS10641</t>
  </si>
  <si>
    <t>CS10642</t>
  </si>
  <si>
    <t>CS10643</t>
  </si>
  <si>
    <t>CS10644</t>
  </si>
  <si>
    <t>CS10645</t>
  </si>
  <si>
    <t>CS10646</t>
  </si>
  <si>
    <t>CS10647</t>
  </si>
  <si>
    <t>CS10648</t>
  </si>
  <si>
    <t>CS10649</t>
  </si>
  <si>
    <t>CS10650</t>
  </si>
  <si>
    <t>CS10651</t>
  </si>
  <si>
    <t>CS10652</t>
  </si>
  <si>
    <t>CS10653</t>
  </si>
  <si>
    <t>CS10654</t>
  </si>
  <si>
    <t>CS10655</t>
  </si>
  <si>
    <t>CS10656</t>
  </si>
  <si>
    <t>CS10657</t>
  </si>
  <si>
    <t>CS10658</t>
  </si>
  <si>
    <t>CS10659</t>
  </si>
  <si>
    <t>CS10660</t>
  </si>
  <si>
    <t>CS10661</t>
  </si>
  <si>
    <t>CS10662</t>
  </si>
  <si>
    <t>CS10663</t>
  </si>
  <si>
    <t>CS10664</t>
  </si>
  <si>
    <t>CS10665</t>
  </si>
  <si>
    <t>CS10666</t>
  </si>
  <si>
    <t>CS10667</t>
  </si>
  <si>
    <t>CS10668</t>
  </si>
  <si>
    <t>CS10669</t>
  </si>
  <si>
    <t>CS10670</t>
  </si>
  <si>
    <t>CS10671</t>
  </si>
  <si>
    <t>CS10672</t>
  </si>
  <si>
    <t>CS10673</t>
  </si>
  <si>
    <t>CS10674</t>
  </si>
  <si>
    <t>CS10675</t>
  </si>
  <si>
    <t>CS10676</t>
  </si>
  <si>
    <t>CS10677</t>
  </si>
  <si>
    <t>CS10678</t>
  </si>
  <si>
    <t>CS10679</t>
  </si>
  <si>
    <t>CS10680</t>
  </si>
  <si>
    <t>CS10681</t>
  </si>
  <si>
    <t>CS10682</t>
  </si>
  <si>
    <t>CS10683</t>
  </si>
  <si>
    <t>CS10684</t>
  </si>
  <si>
    <t>CS10685</t>
  </si>
  <si>
    <t>CS10686</t>
  </si>
  <si>
    <t>CS10687</t>
  </si>
  <si>
    <t>CS10688</t>
  </si>
  <si>
    <t>CS10689</t>
  </si>
  <si>
    <t>CS10690</t>
  </si>
  <si>
    <t>CS10691</t>
  </si>
  <si>
    <t>CS10692</t>
  </si>
  <si>
    <t>CS10693</t>
  </si>
  <si>
    <t>CS10694</t>
  </si>
  <si>
    <t>CS10695</t>
  </si>
  <si>
    <t>CS10696</t>
  </si>
  <si>
    <t>CS10697</t>
  </si>
  <si>
    <t>CS10698</t>
  </si>
  <si>
    <t>CS10699</t>
  </si>
  <si>
    <t>CS10700</t>
  </si>
  <si>
    <t>CS10701</t>
  </si>
  <si>
    <t>CS10702</t>
  </si>
  <si>
    <t>CS10703</t>
  </si>
  <si>
    <t>CS10704</t>
  </si>
  <si>
    <t>CS10705</t>
  </si>
  <si>
    <t>CS10706</t>
  </si>
  <si>
    <t>CS10707</t>
  </si>
  <si>
    <t>CS10708</t>
  </si>
  <si>
    <t>CS10709</t>
  </si>
  <si>
    <t>CS10710</t>
  </si>
  <si>
    <t>CS10711</t>
  </si>
  <si>
    <t>CS10712</t>
  </si>
  <si>
    <t>CS10713</t>
  </si>
  <si>
    <t>CS10714</t>
  </si>
  <si>
    <t>CS10715</t>
  </si>
  <si>
    <t>CS10716</t>
  </si>
  <si>
    <t>CS10717</t>
  </si>
  <si>
    <t>CS10718</t>
  </si>
  <si>
    <t>CS10719</t>
  </si>
  <si>
    <t>CS10720</t>
  </si>
  <si>
    <t>CS10721</t>
  </si>
  <si>
    <t>CS10722</t>
  </si>
  <si>
    <t>CS10723</t>
  </si>
  <si>
    <t>CS10724</t>
  </si>
  <si>
    <t>CS10725</t>
  </si>
  <si>
    <t>CS10726</t>
  </si>
  <si>
    <t>CS10727</t>
  </si>
  <si>
    <t>CS10728</t>
  </si>
  <si>
    <t>CS10729</t>
  </si>
  <si>
    <t>CS10730</t>
  </si>
  <si>
    <t>CS10731</t>
  </si>
  <si>
    <t>CS10732</t>
  </si>
  <si>
    <t>CS10733</t>
  </si>
  <si>
    <t>CS10734</t>
  </si>
  <si>
    <t>CS10735</t>
  </si>
  <si>
    <t>CS10736</t>
  </si>
  <si>
    <t>CS10737</t>
  </si>
  <si>
    <t>CS10738</t>
  </si>
  <si>
    <t>CS10739</t>
  </si>
  <si>
    <t>CS10740</t>
  </si>
  <si>
    <t>CS10741</t>
  </si>
  <si>
    <t>CS10742</t>
  </si>
  <si>
    <t>CS10743</t>
  </si>
  <si>
    <t>CS10744</t>
  </si>
  <si>
    <t>CS10745</t>
  </si>
  <si>
    <t>CS10746</t>
  </si>
  <si>
    <t>CS10747</t>
  </si>
  <si>
    <t>CS10748</t>
  </si>
  <si>
    <t>CS10749</t>
  </si>
  <si>
    <t>CS10750</t>
  </si>
  <si>
    <t>CS10751</t>
  </si>
  <si>
    <t>CS10752</t>
  </si>
  <si>
    <t>CS10753</t>
  </si>
  <si>
    <t>CS10754</t>
  </si>
  <si>
    <t>CS10755</t>
  </si>
  <si>
    <t>CS10756</t>
  </si>
  <si>
    <t>CS10757</t>
  </si>
  <si>
    <t>CS10758</t>
  </si>
  <si>
    <t>CS10759</t>
  </si>
  <si>
    <t>CS10760</t>
  </si>
  <si>
    <t>CS10761</t>
  </si>
  <si>
    <t>CS10762</t>
  </si>
  <si>
    <t>CS10763</t>
  </si>
  <si>
    <t>CS10764</t>
  </si>
  <si>
    <t>CS10765</t>
  </si>
  <si>
    <t>CS10766</t>
  </si>
  <si>
    <t>CS10767</t>
  </si>
  <si>
    <t>CS10768</t>
  </si>
  <si>
    <t>CS10769</t>
  </si>
  <si>
    <t>CS10770</t>
  </si>
  <si>
    <t>CS10771</t>
  </si>
  <si>
    <t>CS10772</t>
  </si>
  <si>
    <t>CS10773</t>
  </si>
  <si>
    <t>CS10774</t>
  </si>
  <si>
    <t>CS10775</t>
  </si>
  <si>
    <t>CS10776</t>
  </si>
  <si>
    <t>CS10777</t>
  </si>
  <si>
    <t>CS10778</t>
  </si>
  <si>
    <t>CS10779</t>
  </si>
  <si>
    <t>CS10780</t>
  </si>
  <si>
    <t>CS10781</t>
  </si>
  <si>
    <t>CS10782</t>
  </si>
  <si>
    <t>CS10783</t>
  </si>
  <si>
    <t>CS10784</t>
  </si>
  <si>
    <t>CS10785</t>
  </si>
  <si>
    <t>CS10786</t>
  </si>
  <si>
    <t>CS10787</t>
  </si>
  <si>
    <t>CS10788</t>
  </si>
  <si>
    <t>CS10789</t>
  </si>
  <si>
    <t>CS10790</t>
  </si>
  <si>
    <t>CS10791</t>
  </si>
  <si>
    <t>CS10792</t>
  </si>
  <si>
    <t>CS10793</t>
  </si>
  <si>
    <t>CS10794</t>
  </si>
  <si>
    <t>CS10795</t>
  </si>
  <si>
    <t>CS10796</t>
  </si>
  <si>
    <t>CS10797</t>
  </si>
  <si>
    <t>CS10798</t>
  </si>
  <si>
    <t>CS10799</t>
  </si>
  <si>
    <t>CS10800</t>
  </si>
  <si>
    <t>CS10801</t>
  </si>
  <si>
    <t>CS10802</t>
  </si>
  <si>
    <t>CS10803</t>
  </si>
  <si>
    <t>CS10804</t>
  </si>
  <si>
    <t>CS10805</t>
  </si>
  <si>
    <t>CS10806</t>
  </si>
  <si>
    <t>CS10807</t>
  </si>
  <si>
    <t>CS10808</t>
  </si>
  <si>
    <t>CS10809</t>
  </si>
  <si>
    <t>CS10810</t>
  </si>
  <si>
    <t>CS10811</t>
  </si>
  <si>
    <t>CS10812</t>
  </si>
  <si>
    <t>CS10813</t>
  </si>
  <si>
    <t>CS10814</t>
  </si>
  <si>
    <t>CS10815</t>
  </si>
  <si>
    <t>CS10816</t>
  </si>
  <si>
    <t>CS10817</t>
  </si>
  <si>
    <t>CS10818</t>
  </si>
  <si>
    <t>CS10819</t>
  </si>
  <si>
    <t>CS10820</t>
  </si>
  <si>
    <t>CS10821</t>
  </si>
  <si>
    <t>CS10822</t>
  </si>
  <si>
    <t>CS10823</t>
  </si>
  <si>
    <t>CS10824</t>
  </si>
  <si>
    <t>CS10825</t>
  </si>
  <si>
    <t>CS10826</t>
  </si>
  <si>
    <t>CS10827</t>
  </si>
  <si>
    <t>CS10828</t>
  </si>
  <si>
    <t>CS10829</t>
  </si>
  <si>
    <t>CS10830</t>
  </si>
  <si>
    <t>CS10831</t>
  </si>
  <si>
    <t>CS10832</t>
  </si>
  <si>
    <t>CS10833</t>
  </si>
  <si>
    <t>CS10834</t>
  </si>
  <si>
    <t>CS10835</t>
  </si>
  <si>
    <t>CS10836</t>
  </si>
  <si>
    <t>CS10837</t>
  </si>
  <si>
    <t>CS10838</t>
  </si>
  <si>
    <t>CS10839</t>
  </si>
  <si>
    <t>CS10840</t>
  </si>
  <si>
    <t>CS10841</t>
  </si>
  <si>
    <t>CS10842</t>
  </si>
  <si>
    <t>CS10843</t>
  </si>
  <si>
    <t>CS10844</t>
  </si>
  <si>
    <t>CS10845</t>
  </si>
  <si>
    <t>CS10846</t>
  </si>
  <si>
    <t>CS10847</t>
  </si>
  <si>
    <t>CS10848</t>
  </si>
  <si>
    <t>CS10849</t>
  </si>
  <si>
    <t>CS10850</t>
  </si>
  <si>
    <t>CS10851</t>
  </si>
  <si>
    <t>CS10852</t>
  </si>
  <si>
    <t>CS10853</t>
  </si>
  <si>
    <t>CS10854</t>
  </si>
  <si>
    <t>CS10855</t>
  </si>
  <si>
    <t>CS10856</t>
  </si>
  <si>
    <t>CS10857</t>
  </si>
  <si>
    <t>CS10858</t>
  </si>
  <si>
    <t>CS10859</t>
  </si>
  <si>
    <t>CS10860</t>
  </si>
  <si>
    <t>CS10861</t>
  </si>
  <si>
    <t>CS10862</t>
  </si>
  <si>
    <t>CS10863</t>
  </si>
  <si>
    <t>CS10864</t>
  </si>
  <si>
    <t>CS10865</t>
  </si>
  <si>
    <t>CS10866</t>
  </si>
  <si>
    <t>CS10867</t>
  </si>
  <si>
    <t>CS10868</t>
  </si>
  <si>
    <t>CS10869</t>
  </si>
  <si>
    <t>CS10870</t>
  </si>
  <si>
    <t>CS10871</t>
  </si>
  <si>
    <t>CS10872</t>
  </si>
  <si>
    <t>CS10873</t>
  </si>
  <si>
    <t>CS10874</t>
  </si>
  <si>
    <t>CS10875</t>
  </si>
  <si>
    <t>CS10876</t>
  </si>
  <si>
    <t>CS10877</t>
  </si>
  <si>
    <t>CS10878</t>
  </si>
  <si>
    <t>CS10879</t>
  </si>
  <si>
    <t>CS10880</t>
  </si>
  <si>
    <t>CS10881</t>
  </si>
  <si>
    <t>CS10882</t>
  </si>
  <si>
    <t>CS10883</t>
  </si>
  <si>
    <t>CS10884</t>
  </si>
  <si>
    <t>CS10885</t>
  </si>
  <si>
    <t>CS10886</t>
  </si>
  <si>
    <t>CS10887</t>
  </si>
  <si>
    <t>CS10888</t>
  </si>
  <si>
    <t>CS10889</t>
  </si>
  <si>
    <t>CS10890</t>
  </si>
  <si>
    <t>CS10891</t>
  </si>
  <si>
    <t>CS10892</t>
  </si>
  <si>
    <t>CS10893</t>
  </si>
  <si>
    <t>CS10894</t>
  </si>
  <si>
    <t>CS10895</t>
  </si>
  <si>
    <t>CS10896</t>
  </si>
  <si>
    <t>CS10897</t>
  </si>
  <si>
    <t>CS10898</t>
  </si>
  <si>
    <t>CS10899</t>
  </si>
  <si>
    <t>CS10900</t>
  </si>
  <si>
    <t>CS10901</t>
  </si>
  <si>
    <t>CS10902</t>
  </si>
  <si>
    <t>CS10903</t>
  </si>
  <si>
    <t>CS10904</t>
  </si>
  <si>
    <t>CS10905</t>
  </si>
  <si>
    <t>CS10906</t>
  </si>
  <si>
    <t>CS10907</t>
  </si>
  <si>
    <t>CS10908</t>
  </si>
  <si>
    <t>CS10909</t>
  </si>
  <si>
    <t>CS10910</t>
  </si>
  <si>
    <t>CS10911</t>
  </si>
  <si>
    <t>CS10912</t>
  </si>
  <si>
    <t>CS10913</t>
  </si>
  <si>
    <t>CS10914</t>
  </si>
  <si>
    <t>CS10915</t>
  </si>
  <si>
    <t>CS10916</t>
  </si>
  <si>
    <t>CS10917</t>
  </si>
  <si>
    <t>CS10918</t>
  </si>
  <si>
    <t>CS10919</t>
  </si>
  <si>
    <t>CS10920</t>
  </si>
  <si>
    <t>CS10921</t>
  </si>
  <si>
    <t>CS10922</t>
  </si>
  <si>
    <t>CS10923</t>
  </si>
  <si>
    <t>CS10924</t>
  </si>
  <si>
    <t>CS10925</t>
  </si>
  <si>
    <t>CS10926</t>
  </si>
  <si>
    <t>CS10927</t>
  </si>
  <si>
    <t>CS10928</t>
  </si>
  <si>
    <t>CS10929</t>
  </si>
  <si>
    <t>CS10930</t>
  </si>
  <si>
    <t>CS10931</t>
  </si>
  <si>
    <t>CS10932</t>
  </si>
  <si>
    <t>CS10933</t>
  </si>
  <si>
    <t>CS10934</t>
  </si>
  <si>
    <t>CS10935</t>
  </si>
  <si>
    <t>CS10936</t>
  </si>
  <si>
    <t>CS10937</t>
  </si>
  <si>
    <t>CS10938</t>
  </si>
  <si>
    <t>CS10939</t>
  </si>
  <si>
    <t>CS10940</t>
  </si>
  <si>
    <t>CS10941</t>
  </si>
  <si>
    <t>CS10942</t>
  </si>
  <si>
    <t>CS10943</t>
  </si>
  <si>
    <t>CS10944</t>
  </si>
  <si>
    <t>CS10945</t>
  </si>
  <si>
    <t>CS10946</t>
  </si>
  <si>
    <t>CS10947</t>
  </si>
  <si>
    <t>CS10948</t>
  </si>
  <si>
    <t>CS10949</t>
  </si>
  <si>
    <t>CS10950</t>
  </si>
  <si>
    <t>CS10951</t>
  </si>
  <si>
    <t>CS10952</t>
  </si>
  <si>
    <t>CS10953</t>
  </si>
  <si>
    <t>CS10954</t>
  </si>
  <si>
    <t>CS10955</t>
  </si>
  <si>
    <t>CS10956</t>
  </si>
  <si>
    <t>CS10957</t>
  </si>
  <si>
    <t>CS10958</t>
  </si>
  <si>
    <t>CS10959</t>
  </si>
  <si>
    <t>CS10960</t>
  </si>
  <si>
    <t>CS10961</t>
  </si>
  <si>
    <t>CS10962</t>
  </si>
  <si>
    <t>CS10963</t>
  </si>
  <si>
    <t>CS10964</t>
  </si>
  <si>
    <t>CS10965</t>
  </si>
  <si>
    <t>CS10966</t>
  </si>
  <si>
    <t>CS10967</t>
  </si>
  <si>
    <t>CS10968</t>
  </si>
  <si>
    <t>CS10969</t>
  </si>
  <si>
    <t>CS10970</t>
  </si>
  <si>
    <t>CS10971</t>
  </si>
  <si>
    <t>CS10972</t>
  </si>
  <si>
    <t>CS10973</t>
  </si>
  <si>
    <t>CS10974</t>
  </si>
  <si>
    <t>CS10975</t>
  </si>
  <si>
    <t>CS10976</t>
  </si>
  <si>
    <t>CS10977</t>
  </si>
  <si>
    <t>CS10978</t>
  </si>
  <si>
    <t>CS10979</t>
  </si>
  <si>
    <t>CS10980</t>
  </si>
  <si>
    <t>CS10981</t>
  </si>
  <si>
    <t>CS10982</t>
  </si>
  <si>
    <t>CS10983</t>
  </si>
  <si>
    <t>CS10984</t>
  </si>
  <si>
    <t>CS10985</t>
  </si>
  <si>
    <t>CS10986</t>
  </si>
  <si>
    <t>CS10987</t>
  </si>
  <si>
    <t>CS10988</t>
  </si>
  <si>
    <t>CS10989</t>
  </si>
  <si>
    <t>CS10990</t>
  </si>
  <si>
    <t>CS10991</t>
  </si>
  <si>
    <t>CS10992</t>
  </si>
  <si>
    <t>CS10993</t>
  </si>
  <si>
    <t>CS10994</t>
  </si>
  <si>
    <t>CS10995</t>
  </si>
  <si>
    <t>CS10996</t>
  </si>
  <si>
    <t>CS10997</t>
  </si>
  <si>
    <t>CS10998</t>
  </si>
  <si>
    <t>CS10999</t>
  </si>
  <si>
    <t>Churn Analysis by Plan</t>
  </si>
  <si>
    <t>Counts and observed churn rate by customer plan. Churn rate = churned customers / total customers.</t>
  </si>
  <si>
    <t>Plan</t>
  </si>
  <si>
    <t>Churned</t>
  </si>
  <si>
    <t>Retained</t>
  </si>
  <si>
    <t>Churn Rate</t>
  </si>
  <si>
    <t>Churn Analysis by Tenure Group</t>
  </si>
  <si>
    <t>Compare customer retention across tenure segments.</t>
  </si>
  <si>
    <t>Tenure Group</t>
  </si>
  <si>
    <t>Average Tenure</t>
  </si>
  <si>
    <t>Complaint and Support Analysis</t>
  </si>
  <si>
    <t>Average complaint volume, support tickets and resolution time by churn status.</t>
  </si>
  <si>
    <t>Churn Status</t>
  </si>
  <si>
    <t>Customers</t>
  </si>
  <si>
    <t>Average Complaints</t>
  </si>
  <si>
    <t>Average Support Tickets</t>
  </si>
  <si>
    <t>Avg Resolution Hours</t>
  </si>
  <si>
    <t>Payment Behaviour and Churn</t>
  </si>
  <si>
    <t>Customer churn by late_payment_flag. Flag values are retained as present in the dataset.</t>
  </si>
  <si>
    <t>Late Payment Group</t>
  </si>
  <si>
    <t>Average Monthly Charges</t>
  </si>
  <si>
    <t>0</t>
  </si>
  <si>
    <t>1</t>
  </si>
  <si>
    <t>Regional Churn Comparison</t>
  </si>
  <si>
    <t>Compare customer volume and observed churn rate across regions.</t>
  </si>
  <si>
    <t>Region</t>
  </si>
  <si>
    <t>Customer Segment Analysis</t>
  </si>
  <si>
    <t>Customer segments by tenure group and plan; use the table to identify groups needing closer review.</t>
  </si>
  <si>
    <t>Segment Label</t>
  </si>
  <si>
    <t>New (1-6m) | Basic</t>
  </si>
  <si>
    <t>New (1-6m) | Premium</t>
  </si>
  <si>
    <t>New (1-6m) | Standard</t>
  </si>
  <si>
    <t>Medium (7-24m) | Basic</t>
  </si>
  <si>
    <t>Medium (7-24m) | Premium</t>
  </si>
  <si>
    <t>Medium (7-24m) | Standard</t>
  </si>
  <si>
    <t>Long-term (25m+) | Basic</t>
  </si>
  <si>
    <t>Long-term (25m+) | Premium</t>
  </si>
  <si>
    <t>Long-term (25m+) | Standard</t>
  </si>
  <si>
    <t>Formula and Statistical Analysis</t>
  </si>
  <si>
    <t>Excel formulas are included for recalculation; calculated reference values are shown alongside.</t>
  </si>
  <si>
    <t>Metric</t>
  </si>
  <si>
    <t>Excel Formula</t>
  </si>
  <si>
    <t>Calculated Result</t>
  </si>
  <si>
    <t>Purpose</t>
  </si>
  <si>
    <t>Total customers</t>
  </si>
  <si>
    <t>Number of customer records</t>
  </si>
  <si>
    <t>Churned customers</t>
  </si>
  <si>
    <t>Customers labelled as churned</t>
  </si>
  <si>
    <t>Retained customers</t>
  </si>
  <si>
    <t>Customers labelled as retained</t>
  </si>
  <si>
    <t>Overall churn rate</t>
  </si>
  <si>
    <t>Churned / total customers</t>
  </si>
  <si>
    <t>Average tenure</t>
  </si>
  <si>
    <t>Average tenure in the dataset</t>
  </si>
  <si>
    <t>Average monthly charges</t>
  </si>
  <si>
    <t>Average monthly bill/charge</t>
  </si>
  <si>
    <t>Average complaints</t>
  </si>
  <si>
    <t>Average complaint count per customer</t>
  </si>
  <si>
    <t>Average data usage</t>
  </si>
  <si>
    <t>Average data usage in GB</t>
  </si>
  <si>
    <t>Average support resolution hours</t>
  </si>
  <si>
    <t>Average support resolution time</t>
  </si>
  <si>
    <t>Model Feature Importance</t>
  </si>
  <si>
    <t>Copied from the existing analysis workbook where available; importance indicates model reliance, not causation.</t>
  </si>
  <si>
    <t>Feature</t>
  </si>
  <si>
    <t>Importance</t>
  </si>
  <si>
    <t>num__voice_minutes</t>
  </si>
  <si>
    <t>num__monthly_charges</t>
  </si>
  <si>
    <t>num__tenure</t>
  </si>
  <si>
    <t>num__data_gb</t>
  </si>
  <si>
    <t>num__sms_count</t>
  </si>
  <si>
    <t>num__age</t>
  </si>
  <si>
    <t>num__avg_resolution_hours</t>
  </si>
  <si>
    <t>num__network_issues</t>
  </si>
  <si>
    <t>num__support_tickets</t>
  </si>
  <si>
    <t>num__outages</t>
  </si>
  <si>
    <t>num__complaints</t>
  </si>
  <si>
    <t>num__late_payments</t>
  </si>
  <si>
    <t>num__plan_changes</t>
  </si>
  <si>
    <t>cat__region_West</t>
  </si>
  <si>
    <t>cat__plan_Standard</t>
  </si>
  <si>
    <t>READ ME — HOW TO USE THIS WORKBOOK</t>
  </si>
  <si>
    <t>Prepared automatically from the cleaned CSV uploaded for the assessment.</t>
  </si>
  <si>
    <t>Item</t>
  </si>
  <si>
    <t>Explanation</t>
  </si>
  <si>
    <t>Data source</t>
  </si>
  <si>
    <t>The uploaded cleaned_customer_churn.csv file.</t>
  </si>
  <si>
    <t>Dataset note</t>
  </si>
  <si>
    <t>This dataset was previously described as synthetic practice data. Replace it with official assessment data if your instructor supplied separate files.</t>
  </si>
  <si>
    <t>Summary tables</t>
  </si>
  <si>
    <t>The analysis sheets contain grouped summary tables and charts that are similar in purpose to PivotTables. They are not native interactive Excel PivotTables.</t>
  </si>
  <si>
    <t>How to make native PivotTables</t>
  </si>
  <si>
    <t>Select the Cleaned_Data table, choose Insert &gt; PivotTable, and use the matching fields from each analysis sheet as a guide if your instructor explicitly requires native PivotTables.</t>
  </si>
  <si>
    <t>Churn rate</t>
  </si>
  <si>
    <t>Churn rate = customers with churn = Yes / total customers in that group.</t>
  </si>
  <si>
    <t>Interpretation</t>
  </si>
  <si>
    <t>These results show associations in this dataset, not proof that any factor causes churn.</t>
  </si>
  <si>
    <t>Model warning</t>
  </si>
  <si>
    <t>Previously observed recall and F1-score were low. Accuracy alone should not be used to claim the model is effective.</t>
  </si>
  <si>
    <t>Required analyses</t>
  </si>
  <si>
    <t>Churn by plan, tenure group, complaints/support, payment behaviour, region and customer segments are included.</t>
  </si>
  <si>
    <t>Pivot Churn Plan</t>
  </si>
  <si>
    <t>Filter</t>
  </si>
  <si>
    <t>Count - customer_id</t>
  </si>
  <si>
    <t>Total Result</t>
  </si>
  <si>
    <t>Pivot Churn Tenure</t>
  </si>
  <si>
    <t>Pivot Complaints</t>
  </si>
  <si>
    <t>Pivot Payment</t>
  </si>
  <si>
    <t>Pivot Region</t>
  </si>
  <si>
    <t>Pivot Segments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</si>
</sst>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  <numFmt numFmtId="181" formatCode="0.0"/>
  </numFmts>
  <fonts count="28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8"/>
      <color rgb="FFFFFFFF"/>
      <name val="Aptos Display"/>
      <charset val="134"/>
    </font>
    <font>
      <i/>
      <sz val="10"/>
      <color rgb="FF666666"/>
      <name val="Calibri"/>
      <charset val="134"/>
    </font>
    <font>
      <b/>
      <sz val="20"/>
      <color rgb="FF17365D"/>
      <name val="Calibri"/>
      <charset val="134"/>
    </font>
    <font>
      <b/>
      <sz val="12"/>
      <color rgb="FFFFFFFF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0F6B78"/>
        <bgColor rgb="FF008080"/>
      </patternFill>
    </fill>
    <fill>
      <patternFill patternType="solid">
        <fgColor rgb="FFD9EAF7"/>
        <bgColor rgb="FFD9E1F2"/>
      </patternFill>
    </fill>
    <fill>
      <patternFill patternType="solid">
        <fgColor rgb="FFF3F6FA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7" fillId="0" borderId="0"/>
    <xf numFmtId="177" fontId="7" fillId="0" borderId="0"/>
    <xf numFmtId="9" fontId="7" fillId="0" borderId="0"/>
    <xf numFmtId="178" fontId="7" fillId="0" borderId="0"/>
    <xf numFmtId="179" fontId="7" fillId="0" borderId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27" applyNumberFormat="0" applyAlignment="0" applyProtection="0">
      <alignment vertical="center"/>
    </xf>
    <xf numFmtId="0" fontId="18" fillId="10" borderId="28" applyNumberFormat="0" applyAlignment="0" applyProtection="0">
      <alignment vertical="center"/>
    </xf>
    <xf numFmtId="0" fontId="19" fillId="10" borderId="27" applyNumberFormat="0" applyAlignment="0" applyProtection="0">
      <alignment vertical="center"/>
    </xf>
    <xf numFmtId="0" fontId="20" fillId="11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horizontal="left"/>
    </xf>
    <xf numFmtId="0" fontId="1" fillId="0" borderId="0">
      <alignment horizontal="left"/>
    </xf>
    <xf numFmtId="0" fontId="1" fillId="0" borderId="0"/>
  </cellStyleXfs>
  <cellXfs count="42">
    <xf numFmtId="0" fontId="0" fillId="0" borderId="0" xfId="0" applyAlignment="1"/>
    <xf numFmtId="0" fontId="0" fillId="0" borderId="0" xfId="0"/>
    <xf numFmtId="0" fontId="1" fillId="0" borderId="0" xfId="0" applyFont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0" xfId="0" applyFont="1" applyFill="1"/>
    <xf numFmtId="0" fontId="0" fillId="0" borderId="9" xfId="0" applyBorder="1" applyAlignment="1">
      <alignment horizontal="left"/>
    </xf>
    <xf numFmtId="0" fontId="0" fillId="0" borderId="10" xfId="0" applyBorder="1" applyAlignment="1"/>
    <xf numFmtId="0" fontId="0" fillId="0" borderId="11" xfId="0" applyBorder="1" applyAlignment="1"/>
    <xf numFmtId="0" fontId="1" fillId="0" borderId="12" xfId="0" applyFont="1" applyBorder="1" applyAlignment="1"/>
    <xf numFmtId="180" fontId="0" fillId="0" borderId="0" xfId="0" applyNumberFormat="1"/>
    <xf numFmtId="0" fontId="0" fillId="0" borderId="13" xfId="0" applyBorder="1" applyAlignment="1">
      <alignment horizontal="left"/>
    </xf>
    <xf numFmtId="0" fontId="0" fillId="0" borderId="6" xfId="0" applyBorder="1" applyAlignment="1"/>
    <xf numFmtId="0" fontId="0" fillId="0" borderId="14" xfId="0" applyBorder="1" applyAlignment="1"/>
    <xf numFmtId="0" fontId="1" fillId="0" borderId="15" xfId="0" applyFont="1" applyBorder="1" applyAlignment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19" xfId="0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1" fillId="0" borderId="22" xfId="0" applyFont="1" applyBorder="1" applyAlignment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/>
    <xf numFmtId="180" fontId="0" fillId="0" borderId="0" xfId="0" applyNumberFormat="1" applyAlignment="1"/>
    <xf numFmtId="4" fontId="0" fillId="0" borderId="0" xfId="0" applyNumberFormat="1" applyAlignment="1"/>
    <xf numFmtId="181" fontId="0" fillId="0" borderId="0" xfId="0" applyNumberFormat="1" applyAlignment="1"/>
    <xf numFmtId="0" fontId="2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180" fontId="5" fillId="6" borderId="0" xfId="0" applyNumberFormat="1" applyFont="1" applyFill="1" applyAlignment="1">
      <alignment horizontal="center" vertical="center"/>
    </xf>
    <xf numFmtId="0" fontId="6" fillId="3" borderId="0" xfId="0" applyFont="1" applyFill="1" applyAlignment="1"/>
    <xf numFmtId="0" fontId="0" fillId="0" borderId="23" xfId="0" applyBorder="1" applyAlignment="1">
      <alignment vertical="top" wrapText="1"/>
    </xf>
    <xf numFmtId="0" fontId="0" fillId="7" borderId="0" xfId="0" applyFill="1" applyAlignment="1">
      <alignment vertical="center"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orner" xfId="49"/>
    <cellStyle name="Pivot Table Value" xfId="50"/>
    <cellStyle name="Pivot Table Field" xfId="51"/>
    <cellStyle name="Pivot Table Category" xfId="52"/>
    <cellStyle name="Pivot Table Title" xfId="53"/>
    <cellStyle name="Pivot Table Result" xfId="54"/>
  </cellStyles>
  <dxfs count="82"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1"/>
      <tableStyleElement type="headerRow" dxfId="70"/>
      <tableStyleElement type="totalRow" dxfId="69"/>
      <tableStyleElement type="firstColumn" dxfId="68"/>
      <tableStyleElement type="lastColumn" dxfId="67"/>
      <tableStyleElement type="firstRowStripe" dxfId="66"/>
      <tableStyleElement type="firstColumnStripe" dxfId="65"/>
    </tableStyle>
    <tableStyle name="PivotStylePreset2_Accent1" table="0" count="10" xr9:uid="{267968C8-6FFD-4C36-ACC1-9EA1FD1885CA}">
      <tableStyleElement type="headerRow" dxfId="81"/>
      <tableStyleElement type="totalRow" dxfId="80"/>
      <tableStyleElement type="firstRowStripe" dxfId="79"/>
      <tableStyleElement type="firstColumnStripe" dxfId="78"/>
      <tableStyleElement type="firstSubtotalRow" dxfId="77"/>
      <tableStyleElement type="secondSubtotalRow" dxfId="76"/>
      <tableStyleElement type="firstRowSubheading" dxfId="75"/>
      <tableStyleElement type="secondRowSubheading" dxfId="74"/>
      <tableStyleElement type="pageFieldLabels" dxfId="73"/>
      <tableStyleElement type="pageFieldValues" dxfId="7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F6B78"/>
      <rgbColor rgb="00C0C0C0"/>
      <rgbColor rgb="00878787"/>
      <rgbColor rgb="009999FF"/>
      <rgbColor rgb="00C0504D"/>
      <rgbColor rgb="00F9F9F9"/>
      <rgbColor rgb="00D9EA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6FA"/>
      <rgbColor rgb="00D9E1F2"/>
      <rgbColor rgb="00FFFF99"/>
      <rgbColor rgb="0099CCFF"/>
      <rgbColor rgb="00FF99CC"/>
      <rgbColor rgb="00CC99FF"/>
      <rgbColor rgb="00FFCC99"/>
      <rgbColor rgb="004F81BD"/>
      <rgbColor rgb="0033CCCC"/>
      <rgbColor rgb="0099CC00"/>
      <rgbColor rgb="00FFCC00"/>
      <rgbColor rgb="00FF9900"/>
      <rgbColor rgb="00FF6600"/>
      <rgbColor rgb="00666666"/>
      <rgbColor rgb="00969696"/>
      <rgbColor rgb="0017365D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Plan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Churn_by_Plan!$E$4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Churn_by_Plan!$A$5:$A$7</c:f>
              <c:strCache>
                <c:ptCount val="3"/>
                <c:pt idx="0">
                  <c:v>Premium</c:v>
                </c:pt>
                <c:pt idx="1">
                  <c:v>Basic</c:v>
                </c:pt>
                <c:pt idx="2">
                  <c:v>Standard</c:v>
                </c:pt>
              </c:strCache>
            </c:strRef>
          </c:cat>
          <c:val>
            <c:numRef>
              <c:f>Churn_by_Plan!$E$5:$E$7</c:f>
              <c:numCache>
                <c:formatCode>0.0%</c:formatCode>
                <c:ptCount val="3"/>
                <c:pt idx="0">
                  <c:v>0.359550561797753</c:v>
                </c:pt>
                <c:pt idx="1">
                  <c:v>0.35672514619883</c:v>
                </c:pt>
                <c:pt idx="2">
                  <c:v>0.248081841432225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4806607"/>
        <c:axId val="58225445"/>
      </c:barChart>
      <c:catAx>
        <c:axId val="1480660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Plan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58225445"/>
        <c:crosses val="autoZero"/>
        <c:auto val="1"/>
        <c:lblAlgn val="ctr"/>
        <c:lblOffset val="100"/>
        <c:noMultiLvlLbl val="0"/>
      </c:catAx>
      <c:valAx>
        <c:axId val="5822544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1480660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a2a43d-1f03-4e66-b9e8-d96273fee89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Region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Regional_Comparison!$E$4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Regional_Comparison!$A$5:$A$10</c:f>
              <c:strCache>
                <c:ptCount val="6"/>
                <c:pt idx="0">
                  <c:v>Unknown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Central</c:v>
                </c:pt>
                <c:pt idx="5">
                  <c:v>South</c:v>
                </c:pt>
              </c:strCache>
            </c:strRef>
          </c:cat>
          <c:val>
            <c:numRef>
              <c:f>Regional_Comparison!$E$5:$E$10</c:f>
              <c:numCache>
                <c:formatCode>0.0%</c:formatCode>
                <c:ptCount val="6"/>
                <c:pt idx="0">
                  <c:v>0.4</c:v>
                </c:pt>
                <c:pt idx="1">
                  <c:v>0.357798165137615</c:v>
                </c:pt>
                <c:pt idx="2">
                  <c:v>0.32</c:v>
                </c:pt>
                <c:pt idx="3">
                  <c:v>0.316279069767442</c:v>
                </c:pt>
                <c:pt idx="4">
                  <c:v>0.295302013422819</c:v>
                </c:pt>
                <c:pt idx="5">
                  <c:v>0.276315789473684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6473784"/>
        <c:axId val="49392900"/>
      </c:barChart>
      <c:catAx>
        <c:axId val="8647378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49392900"/>
        <c:crosses val="autoZero"/>
        <c:auto val="1"/>
        <c:lblAlgn val="ctr"/>
        <c:lblOffset val="100"/>
        <c:noMultiLvlLbl val="0"/>
      </c:catAx>
      <c:valAx>
        <c:axId val="49392900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Region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86473784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37b0bf-36a7-45d2-b58f-5748cbcd466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Plan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Churn_by_Plan!$E$4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Churn_by_Plan!$A$5:$A$7</c:f>
              <c:strCache>
                <c:ptCount val="3"/>
                <c:pt idx="0">
                  <c:v>Premium</c:v>
                </c:pt>
                <c:pt idx="1">
                  <c:v>Basic</c:v>
                </c:pt>
                <c:pt idx="2">
                  <c:v>Standard</c:v>
                </c:pt>
              </c:strCache>
            </c:strRef>
          </c:cat>
          <c:val>
            <c:numRef>
              <c:f>Churn_by_Plan!$E$5:$E$7</c:f>
              <c:numCache>
                <c:formatCode>0.0%</c:formatCode>
                <c:ptCount val="3"/>
                <c:pt idx="0">
                  <c:v>0.359550561797753</c:v>
                </c:pt>
                <c:pt idx="1">
                  <c:v>0.35672514619883</c:v>
                </c:pt>
                <c:pt idx="2">
                  <c:v>0.248081841432225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9407082"/>
        <c:axId val="9214257"/>
      </c:barChart>
      <c:catAx>
        <c:axId val="894070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Plan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9214257"/>
        <c:crosses val="autoZero"/>
        <c:auto val="1"/>
        <c:lblAlgn val="ctr"/>
        <c:lblOffset val="100"/>
        <c:noMultiLvlLbl val="0"/>
      </c:catAx>
      <c:valAx>
        <c:axId val="921425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89407082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9eb4fb-39e3-4e40-b846-17d39a96031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Tenure Group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Churn_by_Tenure!$E$4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Churn_by_Tenure!$A$5:$A$7</c:f>
              <c:strCache>
                <c:ptCount val="3"/>
                <c:pt idx="0">
                  <c:v>New (1-6m)</c:v>
                </c:pt>
                <c:pt idx="1">
                  <c:v>Medium (7-24m)</c:v>
                </c:pt>
                <c:pt idx="2">
                  <c:v>Long-term (25m+)</c:v>
                </c:pt>
              </c:strCache>
            </c:strRef>
          </c:cat>
          <c:val>
            <c:numRef>
              <c:f>Churn_by_Tenure!$E$5:$E$7</c:f>
              <c:numCache>
                <c:formatCode>0.0%</c:formatCode>
                <c:ptCount val="3"/>
                <c:pt idx="0">
                  <c:v>0.537634408602151</c:v>
                </c:pt>
                <c:pt idx="1">
                  <c:v>0.265384615384615</c:v>
                </c:pt>
                <c:pt idx="2">
                  <c:v>0.302936630602782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1709447"/>
        <c:axId val="91545890"/>
      </c:barChart>
      <c:catAx>
        <c:axId val="6170944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Tenure Group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91545890"/>
        <c:crosses val="autoZero"/>
        <c:auto val="1"/>
        <c:lblAlgn val="ctr"/>
        <c:lblOffset val="100"/>
        <c:noMultiLvlLbl val="0"/>
      </c:catAx>
      <c:valAx>
        <c:axId val="9154589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6170944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2ce672-5b9b-47d1-ad23-f6b457d7273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Average Complaints by Churn Status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Complaint_Analysis!$C$4</c:f>
              <c:strCache>
                <c:ptCount val="1"/>
                <c:pt idx="0">
                  <c:v>Average Complaints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Complaint_Analysis!$A$5:$A$6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Complaint_Analysis!$C$5:$C$6</c:f>
              <c:numCache>
                <c:formatCode>0.00</c:formatCode>
                <c:ptCount val="2"/>
                <c:pt idx="0">
                  <c:v>0.575182481751825</c:v>
                </c:pt>
                <c:pt idx="1">
                  <c:v>0.749206349206349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1032571"/>
        <c:axId val="55047140"/>
      </c:barChart>
      <c:catAx>
        <c:axId val="2103257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Average Complaints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55047140"/>
        <c:crosses val="autoZero"/>
        <c:auto val="1"/>
        <c:lblAlgn val="ctr"/>
        <c:lblOffset val="100"/>
        <c:noMultiLvlLbl val="0"/>
      </c:catAx>
      <c:valAx>
        <c:axId val="55047140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Status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1032571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f61484-717f-4211-b7ae-091a40eb751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Late-Payment Group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Payment_Behavior!$E$4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Payment_Behavior!$A$5:$A$6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Payment_Behavior!$E$5:$E$6</c:f>
              <c:numCache>
                <c:formatCode>0.0%</c:formatCode>
                <c:ptCount val="2"/>
                <c:pt idx="0">
                  <c:v>0.272727272727273</c:v>
                </c:pt>
                <c:pt idx="1">
                  <c:v>0.389502762430939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7341390"/>
        <c:axId val="66630175"/>
      </c:barChart>
      <c:catAx>
        <c:axId val="673413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Late-Payment Group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66630175"/>
        <c:crosses val="autoZero"/>
        <c:auto val="1"/>
        <c:lblAlgn val="ctr"/>
        <c:lblOffset val="100"/>
        <c:noMultiLvlLbl val="0"/>
      </c:catAx>
      <c:valAx>
        <c:axId val="6663017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67341390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43b353-3aa6-4158-bdbe-9a93aa3d0a8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Region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Regional_Comparison!$E$4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Regional_Comparison!$A$5:$A$10</c:f>
              <c:strCache>
                <c:ptCount val="6"/>
                <c:pt idx="0">
                  <c:v>Unknown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Central</c:v>
                </c:pt>
                <c:pt idx="5">
                  <c:v>South</c:v>
                </c:pt>
              </c:strCache>
            </c:strRef>
          </c:cat>
          <c:val>
            <c:numRef>
              <c:f>Regional_Comparison!$E$5:$E$10</c:f>
              <c:numCache>
                <c:formatCode>0.0%</c:formatCode>
                <c:ptCount val="6"/>
                <c:pt idx="0">
                  <c:v>0.4</c:v>
                </c:pt>
                <c:pt idx="1">
                  <c:v>0.357798165137615</c:v>
                </c:pt>
                <c:pt idx="2">
                  <c:v>0.32</c:v>
                </c:pt>
                <c:pt idx="3">
                  <c:v>0.316279069767442</c:v>
                </c:pt>
                <c:pt idx="4">
                  <c:v>0.295302013422819</c:v>
                </c:pt>
                <c:pt idx="5">
                  <c:v>0.276315789473684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6713552"/>
        <c:axId val="46372145"/>
      </c:barChart>
      <c:catAx>
        <c:axId val="5671355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46372145"/>
        <c:crosses val="autoZero"/>
        <c:auto val="1"/>
        <c:lblAlgn val="ctr"/>
        <c:lblOffset val="100"/>
        <c:noMultiLvlLbl val="0"/>
      </c:catAx>
      <c:valAx>
        <c:axId val="4637214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Region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56713552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5a0e17-f3ab-4772-87be-57632054c63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Churn Rate by Tenure and Plan Segment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9411156"/>
        <c:axId val="296699"/>
      </c:barChart>
      <c:catAx>
        <c:axId val="4941115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Churn Rate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96699"/>
        <c:crosses val="autoZero"/>
        <c:auto val="1"/>
        <c:lblAlgn val="ctr"/>
        <c:lblOffset val="100"/>
        <c:noMultiLvlLbl val="0"/>
      </c:catAx>
      <c:valAx>
        <c:axId val="296699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Segment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4941115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255c17-0d16-450d-8dc7-f453d856ce3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 panose="020F0502020204030204"/>
              </a:rPr>
              <a:t>Feature Importance</a:t>
            </a:r>
            <a:endParaRPr lang="en-US" sz="1800" b="1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Feature_Importance!$B$4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Feature_Importance!$A$5:$A$19</c:f>
              <c:strCache>
                <c:ptCount val="15"/>
                <c:pt idx="0">
                  <c:v>num__voice_minutes</c:v>
                </c:pt>
                <c:pt idx="1">
                  <c:v>num__monthly_charges</c:v>
                </c:pt>
                <c:pt idx="2">
                  <c:v>num__tenure</c:v>
                </c:pt>
                <c:pt idx="3">
                  <c:v>num__data_gb</c:v>
                </c:pt>
                <c:pt idx="4">
                  <c:v>num__sms_count</c:v>
                </c:pt>
                <c:pt idx="5">
                  <c:v>num__age</c:v>
                </c:pt>
                <c:pt idx="6">
                  <c:v>num__avg_resolution_hours</c:v>
                </c:pt>
                <c:pt idx="7">
                  <c:v>num__network_issues</c:v>
                </c:pt>
                <c:pt idx="8">
                  <c:v>num__support_tickets</c:v>
                </c:pt>
                <c:pt idx="9">
                  <c:v>num__outages</c:v>
                </c:pt>
                <c:pt idx="10">
                  <c:v>num__complaints</c:v>
                </c:pt>
                <c:pt idx="11">
                  <c:v>num__late_payments</c:v>
                </c:pt>
                <c:pt idx="12">
                  <c:v>num__plan_changes</c:v>
                </c:pt>
                <c:pt idx="13">
                  <c:v>cat__region_West</c:v>
                </c:pt>
                <c:pt idx="14">
                  <c:v>cat__plan_Standard</c:v>
                </c:pt>
              </c:strCache>
            </c:strRef>
          </c:cat>
          <c:val>
            <c:numRef>
              <c:f>Feature_Importance!$B$5:$B$19</c:f>
              <c:numCache>
                <c:formatCode>General</c:formatCode>
                <c:ptCount val="15"/>
                <c:pt idx="0">
                  <c:v>0.101532567695624</c:v>
                </c:pt>
                <c:pt idx="1">
                  <c:v>0.0973865388686014</c:v>
                </c:pt>
                <c:pt idx="2">
                  <c:v>0.0957698303263786</c:v>
                </c:pt>
                <c:pt idx="3">
                  <c:v>0.0939199740063176</c:v>
                </c:pt>
                <c:pt idx="4">
                  <c:v>0.0934549800087198</c:v>
                </c:pt>
                <c:pt idx="5">
                  <c:v>0.0907018532273334</c:v>
                </c:pt>
                <c:pt idx="6">
                  <c:v>0.0888685374572845</c:v>
                </c:pt>
                <c:pt idx="7">
                  <c:v>0.043688831705418</c:v>
                </c:pt>
                <c:pt idx="8">
                  <c:v>0.0345124901367058</c:v>
                </c:pt>
                <c:pt idx="9">
                  <c:v>0.0285361720461734</c:v>
                </c:pt>
                <c:pt idx="10">
                  <c:v>0.0245824887401063</c:v>
                </c:pt>
                <c:pt idx="11">
                  <c:v>0.0229729977803903</c:v>
                </c:pt>
                <c:pt idx="12">
                  <c:v>0.0213427366649436</c:v>
                </c:pt>
                <c:pt idx="13">
                  <c:v>0.0149470306829019</c:v>
                </c:pt>
                <c:pt idx="14">
                  <c:v>0.0142830881138416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8686623"/>
        <c:axId val="28449260"/>
      </c:barChart>
      <c:catAx>
        <c:axId val="986866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Importance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8449260"/>
        <c:crosses val="autoZero"/>
        <c:auto val="1"/>
        <c:lblAlgn val="ctr"/>
        <c:lblOffset val="100"/>
        <c:noMultiLvlLbl val="0"/>
      </c:catAx>
      <c:valAx>
        <c:axId val="28449260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Feature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98686623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a96cdb-beda-4425-834f-10609847a84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Plan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Pivot_Churn_Plan!$B$6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Pivot_Churn_Plan!$A$7:$A$9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Pivot_Churn_Plan!$B$7:$B$9</c:f>
              <c:numCache>
                <c:formatCode>General</c:formatCode>
                <c:ptCount val="3"/>
                <c:pt idx="0">
                  <c:v>220</c:v>
                </c:pt>
                <c:pt idx="1">
                  <c:v>171</c:v>
                </c:pt>
                <c:pt idx="2">
                  <c:v>294</c:v>
                </c:pt>
              </c:numCache>
            </c:numRef>
          </c:val>
        </c:ser>
        <c:ser>
          <c:idx val="1"/>
          <c:order val="1"/>
          <c:tx>
            <c:strRef>
              <c:f>Pivot_Churn_Plan!$C$6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Pivot_Churn_Plan!$A$7:$A$9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Pivot_Churn_Plan!$C$7:$C$9</c:f>
              <c:numCache>
                <c:formatCode>General</c:formatCode>
                <c:ptCount val="3"/>
                <c:pt idx="0">
                  <c:v>122</c:v>
                </c:pt>
                <c:pt idx="1">
                  <c:v>96</c:v>
                </c:pt>
                <c:pt idx="2">
                  <c:v>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plan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9fe76b-04f8-415d-85a2-4d1f0a4765f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Plan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Pivot_Churn_Plan!$F$6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Pivot_Churn_Plan!$A$7:$A$9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Pivot_Churn_Plan!$F$7:$F$9</c:f>
              <c:numCache>
                <c:formatCode>0.0%</c:formatCode>
                <c:ptCount val="3"/>
                <c:pt idx="0">
                  <c:v>0.35672514619883</c:v>
                </c:pt>
                <c:pt idx="1">
                  <c:v>0.359550561797753</c:v>
                </c:pt>
                <c:pt idx="2">
                  <c:v>0.248081841432225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plan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90d51de-c165-48a1-b704-8f28bd6fc60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Tenure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Pivot_Churn_Tenure!$B$6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Pivot_Churn_Tenure!$A$7:$A$9</c:f>
              <c:strCache>
                <c:ptCount val="3"/>
                <c:pt idx="0">
                  <c:v>Long-term (25m+)</c:v>
                </c:pt>
                <c:pt idx="1">
                  <c:v>Medium (7-24m)</c:v>
                </c:pt>
                <c:pt idx="2">
                  <c:v>New (1-6m)</c:v>
                </c:pt>
              </c:strCache>
            </c:strRef>
          </c:cat>
          <c:val>
            <c:numRef>
              <c:f>Pivot_Churn_Tenure!$B$7:$B$9</c:f>
              <c:numCache>
                <c:formatCode>General</c:formatCode>
                <c:ptCount val="3"/>
                <c:pt idx="0">
                  <c:v>451</c:v>
                </c:pt>
                <c:pt idx="1">
                  <c:v>191</c:v>
                </c:pt>
                <c:pt idx="2">
                  <c:v>43</c:v>
                </c:pt>
              </c:numCache>
            </c:numRef>
          </c:val>
        </c:ser>
        <c:ser>
          <c:idx val="1"/>
          <c:order val="1"/>
          <c:tx>
            <c:strRef>
              <c:f>Pivot_Churn_Tenure!$C$6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Pivot_Churn_Tenure!$A$7:$A$9</c:f>
              <c:strCache>
                <c:ptCount val="3"/>
                <c:pt idx="0">
                  <c:v>Long-term (25m+)</c:v>
                </c:pt>
                <c:pt idx="1">
                  <c:v>Medium (7-24m)</c:v>
                </c:pt>
                <c:pt idx="2">
                  <c:v>New (1-6m)</c:v>
                </c:pt>
              </c:strCache>
            </c:strRef>
          </c:cat>
          <c:val>
            <c:numRef>
              <c:f>Pivot_Churn_Tenure!$C$7:$C$9</c:f>
              <c:numCache>
                <c:formatCode>General</c:formatCode>
                <c:ptCount val="3"/>
                <c:pt idx="0">
                  <c:v>196</c:v>
                </c:pt>
                <c:pt idx="1">
                  <c:v>69</c:v>
                </c:pt>
                <c:pt idx="2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tenure_group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53e57c-199f-4850-abf4-41653abc828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Tenure Group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Pivot_Churn_Tenure!$F$6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Pivot_Churn_Tenure!$A$7:$A$9</c:f>
              <c:strCache>
                <c:ptCount val="3"/>
                <c:pt idx="0">
                  <c:v>Long-term (25m+)</c:v>
                </c:pt>
                <c:pt idx="1">
                  <c:v>Medium (7-24m)</c:v>
                </c:pt>
                <c:pt idx="2">
                  <c:v>New (1-6m)</c:v>
                </c:pt>
              </c:strCache>
            </c:strRef>
          </c:cat>
          <c:val>
            <c:numRef>
              <c:f>Pivot_Churn_Tenure!$F$7:$F$9</c:f>
              <c:numCache>
                <c:formatCode>0.0%</c:formatCode>
                <c:ptCount val="3"/>
                <c:pt idx="0">
                  <c:v>0.302936630602782</c:v>
                </c:pt>
                <c:pt idx="1">
                  <c:v>0.265384615384615</c:v>
                </c:pt>
                <c:pt idx="2">
                  <c:v>0.537634408602151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tenure_group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52be7b-0d6a-432a-9036-637496d737c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Complaint Count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Pivot_Complaints!$B$6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Pivot_Complaints!$A$7:$A$12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Pivot_Complaints!$B$7:$B$12</c:f>
              <c:numCache>
                <c:formatCode>General</c:formatCode>
                <c:ptCount val="6"/>
                <c:pt idx="0">
                  <c:v>390</c:v>
                </c:pt>
                <c:pt idx="1">
                  <c:v>219</c:v>
                </c:pt>
                <c:pt idx="2">
                  <c:v>58</c:v>
                </c:pt>
                <c:pt idx="3">
                  <c:v>14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Pivot_Complaints!$C$6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Pivot_Complaints!$A$7:$A$12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Pivot_Complaints!$C$7:$C$12</c:f>
              <c:numCache>
                <c:formatCode>General</c:formatCode>
                <c:ptCount val="6"/>
                <c:pt idx="0">
                  <c:v>156</c:v>
                </c:pt>
                <c:pt idx="1">
                  <c:v>104</c:v>
                </c:pt>
                <c:pt idx="2">
                  <c:v>39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complaints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41a204-9e81-4ff1-8c72-6bb404ca7c3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Complaint Count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Pivot_Complaints!$F$6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Pivot_Complaints!$A$7:$A$12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Pivot_Complaints!$F$7:$F$12</c:f>
              <c:numCache>
                <c:formatCode>0.0%</c:formatCode>
                <c:ptCount val="6"/>
                <c:pt idx="0">
                  <c:v>0.285714285714286</c:v>
                </c:pt>
                <c:pt idx="1">
                  <c:v>0.321981424148607</c:v>
                </c:pt>
                <c:pt idx="2">
                  <c:v>0.402061855670103</c:v>
                </c:pt>
                <c:pt idx="3">
                  <c:v>0.416666666666667</c:v>
                </c:pt>
                <c:pt idx="4">
                  <c:v>0.666666666666667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complaints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eee1bb1-ef88-4b6c-8f2c-70f66da507c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Payment Behavior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Pivot_Payment!$B$6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Pivot_Payment!$A$7:$A$8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Pivot_Payment!$B$7:$B$8</c:f>
              <c:numCache>
                <c:formatCode>General</c:formatCode>
                <c:ptCount val="2"/>
                <c:pt idx="0">
                  <c:v>221</c:v>
                </c:pt>
                <c:pt idx="1">
                  <c:v>464</c:v>
                </c:pt>
              </c:numCache>
            </c:numRef>
          </c:val>
        </c:ser>
        <c:ser>
          <c:idx val="1"/>
          <c:order val="1"/>
          <c:tx>
            <c:strRef>
              <c:f>Pivot_Payment!$C$6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Pivot_Payment!$A$7:$A$8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Pivot_Payment!$C$7:$C$8</c:f>
              <c:numCache>
                <c:formatCode>General</c:formatCode>
                <c:ptCount val="2"/>
                <c:pt idx="0">
                  <c:v>141</c:v>
                </c:pt>
                <c:pt idx="1">
                  <c:v>174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payment_status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db74a7-023a-44a2-8c2a-1ce16828c15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Payment Behavior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Pivot_Payment!$A$7:$A$8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Pivot_Payment!$F$7:$F$8</c:f>
              <c:numCache>
                <c:formatCode>0.0%</c:formatCode>
                <c:ptCount val="2"/>
                <c:pt idx="0">
                  <c:v>0.389502762430939</c:v>
                </c:pt>
                <c:pt idx="1">
                  <c:v>0.272727272727273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payment_status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aa2855-aeb8-4882-9642-7702f4f2cc2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Pivot_Region!$A$7:$A$12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Pivot_Region!$B$7:$B$12</c:f>
              <c:numCache>
                <c:formatCode>General</c:formatCode>
                <c:ptCount val="6"/>
                <c:pt idx="0">
                  <c:v>105</c:v>
                </c:pt>
                <c:pt idx="1">
                  <c:v>119</c:v>
                </c:pt>
                <c:pt idx="2">
                  <c:v>147</c:v>
                </c:pt>
                <c:pt idx="3">
                  <c:v>165</c:v>
                </c:pt>
                <c:pt idx="4">
                  <c:v>9</c:v>
                </c:pt>
                <c:pt idx="5">
                  <c:v>140</c:v>
                </c:pt>
              </c:numCache>
            </c:numRef>
          </c:val>
        </c:ser>
        <c:ser>
          <c:idx val="1"/>
          <c:order val="1"/>
          <c:tx>
            <c:strRef>
              <c:f>Pivot_Region!$C$6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Pivot_Region!$A$7:$A$12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Pivot_Region!$C$7:$C$12</c:f>
              <c:numCache>
                <c:formatCode>General</c:formatCode>
                <c:ptCount val="6"/>
                <c:pt idx="0">
                  <c:v>44</c:v>
                </c:pt>
                <c:pt idx="1">
                  <c:v>56</c:v>
                </c:pt>
                <c:pt idx="2">
                  <c:v>68</c:v>
                </c:pt>
                <c:pt idx="3">
                  <c:v>63</c:v>
                </c:pt>
                <c:pt idx="4">
                  <c:v>6</c:v>
                </c:pt>
                <c:pt idx="5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be8315-d306-43f8-a8ce-f372f2e7cde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Region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Pivot_Region!$A$7:$A$12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Unknown</c:v>
                </c:pt>
                <c:pt idx="5">
                  <c:v>West</c:v>
                </c:pt>
              </c:strCache>
            </c:strRef>
          </c:cat>
          <c:val>
            <c:numRef>
              <c:f>Pivot_Region!$F$7:$F$12</c:f>
              <c:numCache>
                <c:formatCode>0.0%</c:formatCode>
                <c:ptCount val="6"/>
                <c:pt idx="0">
                  <c:v>0.295302013422819</c:v>
                </c:pt>
                <c:pt idx="1">
                  <c:v>0.32</c:v>
                </c:pt>
                <c:pt idx="2">
                  <c:v>0.316279069767442</c:v>
                </c:pt>
                <c:pt idx="3">
                  <c:v>0.276315789473684</c:v>
                </c:pt>
                <c:pt idx="4">
                  <c:v>0.4</c:v>
                </c:pt>
                <c:pt idx="5">
                  <c:v>0.357798165137615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889e4b-ebcc-43d3-98e9-ea1f05f0e6a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Customer Segment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Pivot_Segments!$B$6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Pivot_Segments!$A$7:$A$8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Pivot_Segments!$B$7:$B$8</c:f>
              <c:numCache>
                <c:formatCode>General</c:formatCode>
                <c:ptCount val="2"/>
                <c:pt idx="0">
                  <c:v>390</c:v>
                </c:pt>
                <c:pt idx="1">
                  <c:v>295</c:v>
                </c:pt>
              </c:numCache>
            </c:numRef>
          </c:val>
        </c:ser>
        <c:ser>
          <c:idx val="1"/>
          <c:order val="1"/>
          <c:tx>
            <c:strRef>
              <c:f>Pivot_Segments!$C$6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Pivot_Segments!$A$7:$A$8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Pivot_Segments!$C$7:$C$8</c:f>
              <c:numCache>
                <c:formatCode>General</c:formatCode>
                <c:ptCount val="2"/>
                <c:pt idx="0">
                  <c:v>156</c:v>
                </c:pt>
                <c:pt idx="1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complaint_flag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Customers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8e273a-03fb-473a-bff9-687e42332b9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by Customer Segment — Churn Rate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Pivot_Segments!$F$6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numRef>
              <c:f>Pivot_Segments!$A$7:$A$8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Pivot_Segments!$F$7:$F$8</c:f>
              <c:numCache>
                <c:formatCode>0.0%</c:formatCode>
                <c:ptCount val="2"/>
                <c:pt idx="0">
                  <c:v>0.285714285714286</c:v>
                </c:pt>
                <c:pt idx="1">
                  <c:v>0.350220264317181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complaint_flag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103e04-99bd-4862-959b-48c5264515b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3</xdr:col>
      <xdr:colOff>818280</xdr:colOff>
      <xdr:row>36</xdr:row>
      <xdr:rowOff>59400</xdr:rowOff>
    </xdr:to>
    <xdr:graphicFrame>
      <xdr:nvGraphicFramePr>
        <xdr:cNvPr id="2" name="Chart 1"/>
        <xdr:cNvGraphicFramePr/>
      </xdr:nvGraphicFramePr>
      <xdr:xfrm>
        <a:off x="0" y="6372225"/>
        <a:ext cx="5275580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13</xdr:col>
      <xdr:colOff>113400</xdr:colOff>
      <xdr:row>36</xdr:row>
      <xdr:rowOff>59400</xdr:rowOff>
    </xdr:to>
    <xdr:graphicFrame>
      <xdr:nvGraphicFramePr>
        <xdr:cNvPr id="3" name="Chart 2"/>
        <xdr:cNvGraphicFramePr/>
      </xdr:nvGraphicFramePr>
      <xdr:xfrm>
        <a:off x="9601200" y="6372225"/>
        <a:ext cx="5256530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692658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822960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809244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864108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692658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16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774954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11</xdr:col>
      <xdr:colOff>324720</xdr:colOff>
      <xdr:row>16</xdr:row>
      <xdr:rowOff>83880</xdr:rowOff>
    </xdr:to>
    <xdr:graphicFrame>
      <xdr:nvGraphicFramePr>
        <xdr:cNvPr id="2" name="Chart 1"/>
        <xdr:cNvGraphicFramePr/>
      </xdr:nvGraphicFramePr>
      <xdr:xfrm>
        <a:off x="4457700" y="962025"/>
        <a:ext cx="5262245" cy="2607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3956050" y="66294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3956050" y="32639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Date="0" recordCount="1000">
  <cacheSource type="worksheet">
    <worksheetSource ref="A4:X1004" sheet="Cleaned_Data"/>
  </cacheSource>
  <cacheFields count="24">
    <cacheField name="customer_id" numFmtId="0">
      <sharedItems count="1000">
        <s v="CS10000"/>
        <s v="CS10001"/>
        <s v="CS10002"/>
        <s v="CS10003"/>
        <s v="CS10004"/>
        <s v="CS10005"/>
        <s v="CS10006"/>
        <s v="CS10007"/>
        <s v="CS10008"/>
        <s v="CS10009"/>
        <s v="CS10010"/>
        <s v="CS10011"/>
        <s v="CS10012"/>
        <s v="CS10013"/>
        <s v="CS10014"/>
        <s v="CS10015"/>
        <s v="CS10016"/>
        <s v="CS10017"/>
        <s v="CS10018"/>
        <s v="CS10019"/>
        <s v="CS10020"/>
        <s v="CS10021"/>
        <s v="CS10022"/>
        <s v="CS10023"/>
        <s v="CS10024"/>
        <s v="CS10025"/>
        <s v="CS10026"/>
        <s v="CS10027"/>
        <s v="CS10028"/>
        <s v="CS10029"/>
        <s v="CS10030"/>
        <s v="CS10031"/>
        <s v="CS10032"/>
        <s v="CS10033"/>
        <s v="CS10034"/>
        <s v="CS10035"/>
        <s v="CS10036"/>
        <s v="CS10037"/>
        <s v="CS10038"/>
        <s v="CS10039"/>
        <s v="CS10040"/>
        <s v="CS10041"/>
        <s v="CS10042"/>
        <s v="CS10043"/>
        <s v="CS10044"/>
        <s v="CS10045"/>
        <s v="CS10046"/>
        <s v="CS10047"/>
        <s v="CS10048"/>
        <s v="CS10049"/>
        <s v="CS10050"/>
        <s v="CS10051"/>
        <s v="CS10052"/>
        <s v="CS10053"/>
        <s v="CS10054"/>
        <s v="CS10055"/>
        <s v="CS10056"/>
        <s v="CS10057"/>
        <s v="CS10058"/>
        <s v="CS10059"/>
        <s v="CS10060"/>
        <s v="CS10061"/>
        <s v="CS10062"/>
        <s v="CS10063"/>
        <s v="CS10064"/>
        <s v="CS10065"/>
        <s v="CS10066"/>
        <s v="CS10067"/>
        <s v="CS10068"/>
        <s v="CS10069"/>
        <s v="CS10070"/>
        <s v="CS10071"/>
        <s v="CS10072"/>
        <s v="CS10073"/>
        <s v="CS10074"/>
        <s v="CS10075"/>
        <s v="CS10076"/>
        <s v="CS10077"/>
        <s v="CS10078"/>
        <s v="CS10079"/>
        <s v="CS10080"/>
        <s v="CS10081"/>
        <s v="CS10082"/>
        <s v="CS10083"/>
        <s v="CS10084"/>
        <s v="CS10085"/>
        <s v="CS10086"/>
        <s v="CS10087"/>
        <s v="CS10088"/>
        <s v="CS10089"/>
        <s v="CS10090"/>
        <s v="CS10091"/>
        <s v="CS10092"/>
        <s v="CS10093"/>
        <s v="CS10094"/>
        <s v="CS10095"/>
        <s v="CS10096"/>
        <s v="CS10097"/>
        <s v="CS10098"/>
        <s v="CS10099"/>
        <s v="CS10100"/>
        <s v="CS10101"/>
        <s v="CS10102"/>
        <s v="CS10103"/>
        <s v="CS10104"/>
        <s v="CS10105"/>
        <s v="CS10106"/>
        <s v="CS10107"/>
        <s v="CS10108"/>
        <s v="CS10109"/>
        <s v="CS10110"/>
        <s v="CS10111"/>
        <s v="CS10112"/>
        <s v="CS10113"/>
        <s v="CS10114"/>
        <s v="CS10115"/>
        <s v="CS10116"/>
        <s v="CS10117"/>
        <s v="CS10118"/>
        <s v="CS10119"/>
        <s v="CS10120"/>
        <s v="CS10121"/>
        <s v="CS10122"/>
        <s v="CS10123"/>
        <s v="CS10124"/>
        <s v="CS10125"/>
        <s v="CS10126"/>
        <s v="CS10127"/>
        <s v="CS10128"/>
        <s v="CS10129"/>
        <s v="CS10130"/>
        <s v="CS10131"/>
        <s v="CS10132"/>
        <s v="CS10133"/>
        <s v="CS10134"/>
        <s v="CS10135"/>
        <s v="CS10136"/>
        <s v="CS10137"/>
        <s v="CS10138"/>
        <s v="CS10139"/>
        <s v="CS10140"/>
        <s v="CS10141"/>
        <s v="CS10142"/>
        <s v="CS10143"/>
        <s v="CS10144"/>
        <s v="CS10145"/>
        <s v="CS10146"/>
        <s v="CS10147"/>
        <s v="CS10148"/>
        <s v="CS10149"/>
        <s v="CS10150"/>
        <s v="CS10151"/>
        <s v="CS10152"/>
        <s v="CS10153"/>
        <s v="CS10154"/>
        <s v="CS10155"/>
        <s v="CS10156"/>
        <s v="CS10157"/>
        <s v="CS10158"/>
        <s v="CS10159"/>
        <s v="CS10160"/>
        <s v="CS10161"/>
        <s v="CS10162"/>
        <s v="CS10163"/>
        <s v="CS10164"/>
        <s v="CS10165"/>
        <s v="CS10166"/>
        <s v="CS10167"/>
        <s v="CS10168"/>
        <s v="CS10169"/>
        <s v="CS10170"/>
        <s v="CS10171"/>
        <s v="CS10172"/>
        <s v="CS10173"/>
        <s v="CS10174"/>
        <s v="CS10175"/>
        <s v="CS10176"/>
        <s v="CS10177"/>
        <s v="CS10178"/>
        <s v="CS10179"/>
        <s v="CS10180"/>
        <s v="CS10181"/>
        <s v="CS10182"/>
        <s v="CS10183"/>
        <s v="CS10184"/>
        <s v="CS10185"/>
        <s v="CS10186"/>
        <s v="CS10187"/>
        <s v="CS10188"/>
        <s v="CS10189"/>
        <s v="CS10190"/>
        <s v="CS10191"/>
        <s v="CS10192"/>
        <s v="CS10193"/>
        <s v="CS10194"/>
        <s v="CS10195"/>
        <s v="CS10196"/>
        <s v="CS10197"/>
        <s v="CS10198"/>
        <s v="CS10199"/>
        <s v="CS10200"/>
        <s v="CS10201"/>
        <s v="CS10202"/>
        <s v="CS10203"/>
        <s v="CS10204"/>
        <s v="CS10205"/>
        <s v="CS10206"/>
        <s v="CS10207"/>
        <s v="CS10208"/>
        <s v="CS10209"/>
        <s v="CS10210"/>
        <s v="CS10211"/>
        <s v="CS10212"/>
        <s v="CS10213"/>
        <s v="CS10214"/>
        <s v="CS10215"/>
        <s v="CS10216"/>
        <s v="CS10217"/>
        <s v="CS10218"/>
        <s v="CS10219"/>
        <s v="CS10220"/>
        <s v="CS10221"/>
        <s v="CS10222"/>
        <s v="CS10223"/>
        <s v="CS10224"/>
        <s v="CS10225"/>
        <s v="CS10226"/>
        <s v="CS10227"/>
        <s v="CS10228"/>
        <s v="CS10229"/>
        <s v="CS10230"/>
        <s v="CS10231"/>
        <s v="CS10232"/>
        <s v="CS10233"/>
        <s v="CS10234"/>
        <s v="CS10235"/>
        <s v="CS10236"/>
        <s v="CS10237"/>
        <s v="CS10238"/>
        <s v="CS10239"/>
        <s v="CS10240"/>
        <s v="CS10241"/>
        <s v="CS10242"/>
        <s v="CS10243"/>
        <s v="CS10244"/>
        <s v="CS10245"/>
        <s v="CS10246"/>
        <s v="CS10247"/>
        <s v="CS10248"/>
        <s v="CS10249"/>
        <s v="CS10250"/>
        <s v="CS10251"/>
        <s v="CS10252"/>
        <s v="CS10253"/>
        <s v="CS10254"/>
        <s v="CS10255"/>
        <s v="CS10256"/>
        <s v="CS10257"/>
        <s v="CS10258"/>
        <s v="CS10259"/>
        <s v="CS10260"/>
        <s v="CS10261"/>
        <s v="CS10262"/>
        <s v="CS10263"/>
        <s v="CS10264"/>
        <s v="CS10265"/>
        <s v="CS10266"/>
        <s v="CS10267"/>
        <s v="CS10268"/>
        <s v="CS10269"/>
        <s v="CS10270"/>
        <s v="CS10271"/>
        <s v="CS10272"/>
        <s v="CS10273"/>
        <s v="CS10274"/>
        <s v="CS10275"/>
        <s v="CS10276"/>
        <s v="CS10277"/>
        <s v="CS10278"/>
        <s v="CS10279"/>
        <s v="CS10280"/>
        <s v="CS10281"/>
        <s v="CS10282"/>
        <s v="CS10283"/>
        <s v="CS10284"/>
        <s v="CS10285"/>
        <s v="CS10286"/>
        <s v="CS10287"/>
        <s v="CS10288"/>
        <s v="CS10289"/>
        <s v="CS10290"/>
        <s v="CS10291"/>
        <s v="CS10292"/>
        <s v="CS10293"/>
        <s v="CS10294"/>
        <s v="CS10295"/>
        <s v="CS10296"/>
        <s v="CS10297"/>
        <s v="CS10298"/>
        <s v="CS10299"/>
        <s v="CS10300"/>
        <s v="CS10301"/>
        <s v="CS10302"/>
        <s v="CS10303"/>
        <s v="CS10304"/>
        <s v="CS10305"/>
        <s v="CS10306"/>
        <s v="CS10307"/>
        <s v="CS10308"/>
        <s v="CS10309"/>
        <s v="CS10310"/>
        <s v="CS10311"/>
        <s v="CS10312"/>
        <s v="CS10313"/>
        <s v="CS10314"/>
        <s v="CS10315"/>
        <s v="CS10316"/>
        <s v="CS10317"/>
        <s v="CS10318"/>
        <s v="CS10319"/>
        <s v="CS10320"/>
        <s v="CS10321"/>
        <s v="CS10322"/>
        <s v="CS10323"/>
        <s v="CS10324"/>
        <s v="CS10325"/>
        <s v="CS10326"/>
        <s v="CS10327"/>
        <s v="CS10328"/>
        <s v="CS10329"/>
        <s v="CS10330"/>
        <s v="CS10331"/>
        <s v="CS10332"/>
        <s v="CS10333"/>
        <s v="CS10334"/>
        <s v="CS10335"/>
        <s v="CS10336"/>
        <s v="CS10337"/>
        <s v="CS10338"/>
        <s v="CS10339"/>
        <s v="CS10340"/>
        <s v="CS10341"/>
        <s v="CS10342"/>
        <s v="CS10343"/>
        <s v="CS10344"/>
        <s v="CS10345"/>
        <s v="CS10346"/>
        <s v="CS10347"/>
        <s v="CS10348"/>
        <s v="CS10349"/>
        <s v="CS10350"/>
        <s v="CS10351"/>
        <s v="CS10352"/>
        <s v="CS10353"/>
        <s v="CS10354"/>
        <s v="CS10355"/>
        <s v="CS10356"/>
        <s v="CS10357"/>
        <s v="CS10358"/>
        <s v="CS10359"/>
        <s v="CS10360"/>
        <s v="CS10361"/>
        <s v="CS10362"/>
        <s v="CS10363"/>
        <s v="CS10364"/>
        <s v="CS10365"/>
        <s v="CS10366"/>
        <s v="CS10367"/>
        <s v="CS10368"/>
        <s v="CS10369"/>
        <s v="CS10370"/>
        <s v="CS10371"/>
        <s v="CS10372"/>
        <s v="CS10373"/>
        <s v="CS10374"/>
        <s v="CS10375"/>
        <s v="CS10376"/>
        <s v="CS10377"/>
        <s v="CS10378"/>
        <s v="CS10379"/>
        <s v="CS10380"/>
        <s v="CS10381"/>
        <s v="CS10382"/>
        <s v="CS10383"/>
        <s v="CS10384"/>
        <s v="CS10385"/>
        <s v="CS10386"/>
        <s v="CS10387"/>
        <s v="CS10388"/>
        <s v="CS10389"/>
        <s v="CS10390"/>
        <s v="CS10391"/>
        <s v="CS10392"/>
        <s v="CS10393"/>
        <s v="CS10394"/>
        <s v="CS10395"/>
        <s v="CS10396"/>
        <s v="CS10397"/>
        <s v="CS10398"/>
        <s v="CS10399"/>
        <s v="CS10400"/>
        <s v="CS10401"/>
        <s v="CS10402"/>
        <s v="CS10403"/>
        <s v="CS10404"/>
        <s v="CS10405"/>
        <s v="CS10406"/>
        <s v="CS10407"/>
        <s v="CS10408"/>
        <s v="CS10409"/>
        <s v="CS10410"/>
        <s v="CS10411"/>
        <s v="CS10412"/>
        <s v="CS10413"/>
        <s v="CS10414"/>
        <s v="CS10415"/>
        <s v="CS10416"/>
        <s v="CS10417"/>
        <s v="CS10418"/>
        <s v="CS10419"/>
        <s v="CS10420"/>
        <s v="CS10421"/>
        <s v="CS10422"/>
        <s v="CS10423"/>
        <s v="CS10424"/>
        <s v="CS10425"/>
        <s v="CS10426"/>
        <s v="CS10427"/>
        <s v="CS10428"/>
        <s v="CS10429"/>
        <s v="CS10430"/>
        <s v="CS10431"/>
        <s v="CS10432"/>
        <s v="CS10433"/>
        <s v="CS10434"/>
        <s v="CS10435"/>
        <s v="CS10436"/>
        <s v="CS10437"/>
        <s v="CS10438"/>
        <s v="CS10439"/>
        <s v="CS10440"/>
        <s v="CS10441"/>
        <s v="CS10442"/>
        <s v="CS10443"/>
        <s v="CS10444"/>
        <s v="CS10445"/>
        <s v="CS10446"/>
        <s v="CS10447"/>
        <s v="CS10448"/>
        <s v="CS10449"/>
        <s v="CS10450"/>
        <s v="CS10451"/>
        <s v="CS10452"/>
        <s v="CS10453"/>
        <s v="CS10454"/>
        <s v="CS10455"/>
        <s v="CS10456"/>
        <s v="CS10457"/>
        <s v="CS10458"/>
        <s v="CS10459"/>
        <s v="CS10460"/>
        <s v="CS10461"/>
        <s v="CS10462"/>
        <s v="CS10463"/>
        <s v="CS10464"/>
        <s v="CS10465"/>
        <s v="CS10466"/>
        <s v="CS10467"/>
        <s v="CS10468"/>
        <s v="CS10469"/>
        <s v="CS10470"/>
        <s v="CS10471"/>
        <s v="CS10472"/>
        <s v="CS10473"/>
        <s v="CS10474"/>
        <s v="CS10475"/>
        <s v="CS10476"/>
        <s v="CS10477"/>
        <s v="CS10478"/>
        <s v="CS10479"/>
        <s v="CS10480"/>
        <s v="CS10481"/>
        <s v="CS10482"/>
        <s v="CS10483"/>
        <s v="CS10484"/>
        <s v="CS10485"/>
        <s v="CS10486"/>
        <s v="CS10487"/>
        <s v="CS10488"/>
        <s v="CS10489"/>
        <s v="CS10490"/>
        <s v="CS10491"/>
        <s v="CS10492"/>
        <s v="CS10493"/>
        <s v="CS10494"/>
        <s v="CS10495"/>
        <s v="CS10496"/>
        <s v="CS10497"/>
        <s v="CS10498"/>
        <s v="CS10499"/>
        <s v="CS10500"/>
        <s v="CS10501"/>
        <s v="CS10502"/>
        <s v="CS10503"/>
        <s v="CS10504"/>
        <s v="CS10505"/>
        <s v="CS10506"/>
        <s v="CS10507"/>
        <s v="CS10508"/>
        <s v="CS10509"/>
        <s v="CS10510"/>
        <s v="CS10511"/>
        <s v="CS10512"/>
        <s v="CS10513"/>
        <s v="CS10514"/>
        <s v="CS10515"/>
        <s v="CS10516"/>
        <s v="CS10517"/>
        <s v="CS10518"/>
        <s v="CS10519"/>
        <s v="CS10520"/>
        <s v="CS10521"/>
        <s v="CS10522"/>
        <s v="CS10523"/>
        <s v="CS10524"/>
        <s v="CS10525"/>
        <s v="CS10526"/>
        <s v="CS10527"/>
        <s v="CS10528"/>
        <s v="CS10529"/>
        <s v="CS10530"/>
        <s v="CS10531"/>
        <s v="CS10532"/>
        <s v="CS10533"/>
        <s v="CS10534"/>
        <s v="CS10535"/>
        <s v="CS10536"/>
        <s v="CS10537"/>
        <s v="CS10538"/>
        <s v="CS10539"/>
        <s v="CS10540"/>
        <s v="CS10541"/>
        <s v="CS10542"/>
        <s v="CS10543"/>
        <s v="CS10544"/>
        <s v="CS10545"/>
        <s v="CS10546"/>
        <s v="CS10547"/>
        <s v="CS10548"/>
        <s v="CS10549"/>
        <s v="CS10550"/>
        <s v="CS10551"/>
        <s v="CS10552"/>
        <s v="CS10553"/>
        <s v="CS10554"/>
        <s v="CS10555"/>
        <s v="CS10556"/>
        <s v="CS10557"/>
        <s v="CS10558"/>
        <s v="CS10559"/>
        <s v="CS10560"/>
        <s v="CS10561"/>
        <s v="CS10562"/>
        <s v="CS10563"/>
        <s v="CS10564"/>
        <s v="CS10565"/>
        <s v="CS10566"/>
        <s v="CS10567"/>
        <s v="CS10568"/>
        <s v="CS10569"/>
        <s v="CS10570"/>
        <s v="CS10571"/>
        <s v="CS10572"/>
        <s v="CS10573"/>
        <s v="CS10574"/>
        <s v="CS10575"/>
        <s v="CS10576"/>
        <s v="CS10577"/>
        <s v="CS10578"/>
        <s v="CS10579"/>
        <s v="CS10580"/>
        <s v="CS10581"/>
        <s v="CS10582"/>
        <s v="CS10583"/>
        <s v="CS10584"/>
        <s v="CS10585"/>
        <s v="CS10586"/>
        <s v="CS10587"/>
        <s v="CS10588"/>
        <s v="CS10589"/>
        <s v="CS10590"/>
        <s v="CS10591"/>
        <s v="CS10592"/>
        <s v="CS10593"/>
        <s v="CS10594"/>
        <s v="CS10595"/>
        <s v="CS10596"/>
        <s v="CS10597"/>
        <s v="CS10598"/>
        <s v="CS10599"/>
        <s v="CS10600"/>
        <s v="CS10601"/>
        <s v="CS10602"/>
        <s v="CS10603"/>
        <s v="CS10604"/>
        <s v="CS10605"/>
        <s v="CS10606"/>
        <s v="CS10607"/>
        <s v="CS10608"/>
        <s v="CS10609"/>
        <s v="CS10610"/>
        <s v="CS10611"/>
        <s v="CS10612"/>
        <s v="CS10613"/>
        <s v="CS10614"/>
        <s v="CS10615"/>
        <s v="CS10616"/>
        <s v="CS10617"/>
        <s v="CS10618"/>
        <s v="CS10619"/>
        <s v="CS10620"/>
        <s v="CS10621"/>
        <s v="CS10622"/>
        <s v="CS10623"/>
        <s v="CS10624"/>
        <s v="CS10625"/>
        <s v="CS10626"/>
        <s v="CS10627"/>
        <s v="CS10628"/>
        <s v="CS10629"/>
        <s v="CS10630"/>
        <s v="CS10631"/>
        <s v="CS10632"/>
        <s v="CS10633"/>
        <s v="CS10634"/>
        <s v="CS10635"/>
        <s v="CS10636"/>
        <s v="CS10637"/>
        <s v="CS10638"/>
        <s v="CS10639"/>
        <s v="CS10640"/>
        <s v="CS10641"/>
        <s v="CS10642"/>
        <s v="CS10643"/>
        <s v="CS10644"/>
        <s v="CS10645"/>
        <s v="CS10646"/>
        <s v="CS10647"/>
        <s v="CS10648"/>
        <s v="CS10649"/>
        <s v="CS10650"/>
        <s v="CS10651"/>
        <s v="CS10652"/>
        <s v="CS10653"/>
        <s v="CS10654"/>
        <s v="CS10655"/>
        <s v="CS10656"/>
        <s v="CS10657"/>
        <s v="CS10658"/>
        <s v="CS10659"/>
        <s v="CS10660"/>
        <s v="CS10661"/>
        <s v="CS10662"/>
        <s v="CS10663"/>
        <s v="CS10664"/>
        <s v="CS10665"/>
        <s v="CS10666"/>
        <s v="CS10667"/>
        <s v="CS10668"/>
        <s v="CS10669"/>
        <s v="CS10670"/>
        <s v="CS10671"/>
        <s v="CS10672"/>
        <s v="CS10673"/>
        <s v="CS10674"/>
        <s v="CS10675"/>
        <s v="CS10676"/>
        <s v="CS10677"/>
        <s v="CS10678"/>
        <s v="CS10679"/>
        <s v="CS10680"/>
        <s v="CS10681"/>
        <s v="CS10682"/>
        <s v="CS10683"/>
        <s v="CS10684"/>
        <s v="CS10685"/>
        <s v="CS10686"/>
        <s v="CS10687"/>
        <s v="CS10688"/>
        <s v="CS10689"/>
        <s v="CS10690"/>
        <s v="CS10691"/>
        <s v="CS10692"/>
        <s v="CS10693"/>
        <s v="CS10694"/>
        <s v="CS10695"/>
        <s v="CS10696"/>
        <s v="CS10697"/>
        <s v="CS10698"/>
        <s v="CS10699"/>
        <s v="CS10700"/>
        <s v="CS10701"/>
        <s v="CS10702"/>
        <s v="CS10703"/>
        <s v="CS10704"/>
        <s v="CS10705"/>
        <s v="CS10706"/>
        <s v="CS10707"/>
        <s v="CS10708"/>
        <s v="CS10709"/>
        <s v="CS10710"/>
        <s v="CS10711"/>
        <s v="CS10712"/>
        <s v="CS10713"/>
        <s v="CS10714"/>
        <s v="CS10715"/>
        <s v="CS10716"/>
        <s v="CS10717"/>
        <s v="CS10718"/>
        <s v="CS10719"/>
        <s v="CS10720"/>
        <s v="CS10721"/>
        <s v="CS10722"/>
        <s v="CS10723"/>
        <s v="CS10724"/>
        <s v="CS10725"/>
        <s v="CS10726"/>
        <s v="CS10727"/>
        <s v="CS10728"/>
        <s v="CS10729"/>
        <s v="CS10730"/>
        <s v="CS10731"/>
        <s v="CS10732"/>
        <s v="CS10733"/>
        <s v="CS10734"/>
        <s v="CS10735"/>
        <s v="CS10736"/>
        <s v="CS10737"/>
        <s v="CS10738"/>
        <s v="CS10739"/>
        <s v="CS10740"/>
        <s v="CS10741"/>
        <s v="CS10742"/>
        <s v="CS10743"/>
        <s v="CS10744"/>
        <s v="CS10745"/>
        <s v="CS10746"/>
        <s v="CS10747"/>
        <s v="CS10748"/>
        <s v="CS10749"/>
        <s v="CS10750"/>
        <s v="CS10751"/>
        <s v="CS10752"/>
        <s v="CS10753"/>
        <s v="CS10754"/>
        <s v="CS10755"/>
        <s v="CS10756"/>
        <s v="CS10757"/>
        <s v="CS10758"/>
        <s v="CS10759"/>
        <s v="CS10760"/>
        <s v="CS10761"/>
        <s v="CS10762"/>
        <s v="CS10763"/>
        <s v="CS10764"/>
        <s v="CS10765"/>
        <s v="CS10766"/>
        <s v="CS10767"/>
        <s v="CS10768"/>
        <s v="CS10769"/>
        <s v="CS10770"/>
        <s v="CS10771"/>
        <s v="CS10772"/>
        <s v="CS10773"/>
        <s v="CS10774"/>
        <s v="CS10775"/>
        <s v="CS10776"/>
        <s v="CS10777"/>
        <s v="CS10778"/>
        <s v="CS10779"/>
        <s v="CS10780"/>
        <s v="CS10781"/>
        <s v="CS10782"/>
        <s v="CS10783"/>
        <s v="CS10784"/>
        <s v="CS10785"/>
        <s v="CS10786"/>
        <s v="CS10787"/>
        <s v="CS10788"/>
        <s v="CS10789"/>
        <s v="CS10790"/>
        <s v="CS10791"/>
        <s v="CS10792"/>
        <s v="CS10793"/>
        <s v="CS10794"/>
        <s v="CS10795"/>
        <s v="CS10796"/>
        <s v="CS10797"/>
        <s v="CS10798"/>
        <s v="CS10799"/>
        <s v="CS10800"/>
        <s v="CS10801"/>
        <s v="CS10802"/>
        <s v="CS10803"/>
        <s v="CS10804"/>
        <s v="CS10805"/>
        <s v="CS10806"/>
        <s v="CS10807"/>
        <s v="CS10808"/>
        <s v="CS10809"/>
        <s v="CS10810"/>
        <s v="CS10811"/>
        <s v="CS10812"/>
        <s v="CS10813"/>
        <s v="CS10814"/>
        <s v="CS10815"/>
        <s v="CS10816"/>
        <s v="CS10817"/>
        <s v="CS10818"/>
        <s v="CS10819"/>
        <s v="CS10820"/>
        <s v="CS10821"/>
        <s v="CS10822"/>
        <s v="CS10823"/>
        <s v="CS10824"/>
        <s v="CS10825"/>
        <s v="CS10826"/>
        <s v="CS10827"/>
        <s v="CS10828"/>
        <s v="CS10829"/>
        <s v="CS10830"/>
        <s v="CS10831"/>
        <s v="CS10832"/>
        <s v="CS10833"/>
        <s v="CS10834"/>
        <s v="CS10835"/>
        <s v="CS10836"/>
        <s v="CS10837"/>
        <s v="CS10838"/>
        <s v="CS10839"/>
        <s v="CS10840"/>
        <s v="CS10841"/>
        <s v="CS10842"/>
        <s v="CS10843"/>
        <s v="CS10844"/>
        <s v="CS10845"/>
        <s v="CS10846"/>
        <s v="CS10847"/>
        <s v="CS10848"/>
        <s v="CS10849"/>
        <s v="CS10850"/>
        <s v="CS10851"/>
        <s v="CS10852"/>
        <s v="CS10853"/>
        <s v="CS10854"/>
        <s v="CS10855"/>
        <s v="CS10856"/>
        <s v="CS10857"/>
        <s v="CS10858"/>
        <s v="CS10859"/>
        <s v="CS10860"/>
        <s v="CS10861"/>
        <s v="CS10862"/>
        <s v="CS10863"/>
        <s v="CS10864"/>
        <s v="CS10865"/>
        <s v="CS10866"/>
        <s v="CS10867"/>
        <s v="CS10868"/>
        <s v="CS10869"/>
        <s v="CS10870"/>
        <s v="CS10871"/>
        <s v="CS10872"/>
        <s v="CS10873"/>
        <s v="CS10874"/>
        <s v="CS10875"/>
        <s v="CS10876"/>
        <s v="CS10877"/>
        <s v="CS10878"/>
        <s v="CS10879"/>
        <s v="CS10880"/>
        <s v="CS10881"/>
        <s v="CS10882"/>
        <s v="CS10883"/>
        <s v="CS10884"/>
        <s v="CS10885"/>
        <s v="CS10886"/>
        <s v="CS10887"/>
        <s v="CS10888"/>
        <s v="CS10889"/>
        <s v="CS10890"/>
        <s v="CS10891"/>
        <s v="CS10892"/>
        <s v="CS10893"/>
        <s v="CS10894"/>
        <s v="CS10895"/>
        <s v="CS10896"/>
        <s v="CS10897"/>
        <s v="CS10898"/>
        <s v="CS10899"/>
        <s v="CS10900"/>
        <s v="CS10901"/>
        <s v="CS10902"/>
        <s v="CS10903"/>
        <s v="CS10904"/>
        <s v="CS10905"/>
        <s v="CS10906"/>
        <s v="CS10907"/>
        <s v="CS10908"/>
        <s v="CS10909"/>
        <s v="CS10910"/>
        <s v="CS10911"/>
        <s v="CS10912"/>
        <s v="CS10913"/>
        <s v="CS10914"/>
        <s v="CS10915"/>
        <s v="CS10916"/>
        <s v="CS10917"/>
        <s v="CS10918"/>
        <s v="CS10919"/>
        <s v="CS10920"/>
        <s v="CS10921"/>
        <s v="CS10922"/>
        <s v="CS10923"/>
        <s v="CS10924"/>
        <s v="CS10925"/>
        <s v="CS10926"/>
        <s v="CS10927"/>
        <s v="CS10928"/>
        <s v="CS10929"/>
        <s v="CS10930"/>
        <s v="CS10931"/>
        <s v="CS10932"/>
        <s v="CS10933"/>
        <s v="CS10934"/>
        <s v="CS10935"/>
        <s v="CS10936"/>
        <s v="CS10937"/>
        <s v="CS10938"/>
        <s v="CS10939"/>
        <s v="CS10940"/>
        <s v="CS10941"/>
        <s v="CS10942"/>
        <s v="CS10943"/>
        <s v="CS10944"/>
        <s v="CS10945"/>
        <s v="CS10946"/>
        <s v="CS10947"/>
        <s v="CS10948"/>
        <s v="CS10949"/>
        <s v="CS10950"/>
        <s v="CS10951"/>
        <s v="CS10952"/>
        <s v="CS10953"/>
        <s v="CS10954"/>
        <s v="CS10955"/>
        <s v="CS10956"/>
        <s v="CS10957"/>
        <s v="CS10958"/>
        <s v="CS10959"/>
        <s v="CS10960"/>
        <s v="CS10961"/>
        <s v="CS10962"/>
        <s v="CS10963"/>
        <s v="CS10964"/>
        <s v="CS10965"/>
        <s v="CS10966"/>
        <s v="CS10967"/>
        <s v="CS10968"/>
        <s v="CS10969"/>
        <s v="CS10970"/>
        <s v="CS10971"/>
        <s v="CS10972"/>
        <s v="CS10973"/>
        <s v="CS10974"/>
        <s v="CS10975"/>
        <s v="CS10976"/>
        <s v="CS10977"/>
        <s v="CS10978"/>
        <s v="CS10979"/>
        <s v="CS10980"/>
        <s v="CS10981"/>
        <s v="CS10982"/>
        <s v="CS10983"/>
        <s v="CS10984"/>
        <s v="CS10985"/>
        <s v="CS10986"/>
        <s v="CS10987"/>
        <s v="CS10988"/>
        <s v="CS10989"/>
        <s v="CS10990"/>
        <s v="CS10991"/>
        <s v="CS10992"/>
        <s v="CS10993"/>
        <s v="CS10994"/>
        <s v="CS10995"/>
        <s v="CS10996"/>
        <s v="CS10997"/>
        <s v="CS10998"/>
        <s v="CS10999"/>
      </sharedItems>
    </cacheField>
    <cacheField name="age" numFmtId="0">
      <sharedItems containsSemiMixedTypes="0" containsString="0" containsNumber="1" containsInteger="1" minValue="0" maxValue="75" count="58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</sharedItems>
    </cacheField>
    <cacheField name="tenure" numFmtId="0">
      <sharedItems containsSemiMixedTypes="0" containsString="0" containsNumber="1" containsInteger="1" minValue="0" maxValue="72" count="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lan" numFmtId="0">
      <sharedItems count="3">
        <s v="Basic"/>
        <s v="Premium"/>
        <s v="Standard"/>
      </sharedItems>
    </cacheField>
    <cacheField name="region" numFmtId="0">
      <sharedItems count="6">
        <s v="Central"/>
        <s v="East"/>
        <s v="North"/>
        <s v="South"/>
        <s v="Unknown"/>
        <s v="West"/>
      </sharedItems>
    </cacheField>
    <cacheField name="churn" numFmtId="0">
      <sharedItems count="2">
        <s v="No"/>
        <s v="Yes"/>
      </sharedItems>
    </cacheField>
    <cacheField name="voice_minutes" numFmtId="0">
      <sharedItems containsSemiMixedTypes="0" containsString="0" containsNumber="1" containsInteger="1" minValue="0" maxValue="881" count="474">
        <n v="20"/>
        <n v="28"/>
        <n v="47"/>
        <n v="48"/>
        <n v="59"/>
        <n v="66"/>
        <n v="69"/>
        <n v="70"/>
        <n v="76"/>
        <n v="77"/>
        <n v="81"/>
        <n v="87"/>
        <n v="91"/>
        <n v="96"/>
        <n v="101"/>
        <n v="102"/>
        <n v="103"/>
        <n v="108"/>
        <n v="109"/>
        <n v="116"/>
        <n v="119"/>
        <n v="121"/>
        <n v="122"/>
        <n v="123"/>
        <n v="124"/>
        <n v="125"/>
        <n v="127"/>
        <n v="129"/>
        <n v="132"/>
        <n v="133"/>
        <n v="134"/>
        <n v="136"/>
        <n v="140"/>
        <n v="143"/>
        <n v="144"/>
        <n v="147"/>
        <n v="151"/>
        <n v="153"/>
        <n v="154"/>
        <n v="155"/>
        <n v="157"/>
        <n v="160"/>
        <n v="161"/>
        <n v="162"/>
        <n v="165"/>
        <n v="169"/>
        <n v="173"/>
        <n v="174"/>
        <n v="175"/>
        <n v="177"/>
        <n v="179"/>
        <n v="180"/>
        <n v="182"/>
        <n v="183"/>
        <n v="185"/>
        <n v="186"/>
        <n v="187"/>
        <n v="189"/>
        <n v="190"/>
        <n v="191"/>
        <n v="193"/>
        <n v="194"/>
        <n v="196"/>
        <n v="198"/>
        <n v="199"/>
        <n v="200"/>
        <n v="201"/>
        <n v="203"/>
        <n v="207"/>
        <n v="208"/>
        <n v="210"/>
        <n v="211"/>
        <n v="212"/>
        <n v="216"/>
        <n v="218"/>
        <n v="219"/>
        <n v="220"/>
        <n v="222"/>
        <n v="223"/>
        <n v="224"/>
        <n v="226"/>
        <n v="227"/>
        <n v="228"/>
        <n v="230"/>
        <n v="231"/>
        <n v="232"/>
        <n v="233"/>
        <n v="234"/>
        <n v="235"/>
        <n v="236"/>
        <n v="237"/>
        <n v="238"/>
        <n v="239"/>
        <n v="241"/>
        <n v="242"/>
        <n v="244"/>
        <n v="245"/>
        <n v="246"/>
        <n v="248"/>
        <n v="249"/>
        <n v="250"/>
        <n v="251"/>
        <n v="252"/>
        <n v="253"/>
        <n v="254"/>
        <n v="255"/>
        <n v="256"/>
        <n v="257"/>
        <n v="258"/>
        <n v="259"/>
        <n v="262"/>
        <n v="263"/>
        <n v="264"/>
        <n v="266"/>
        <n v="267"/>
        <n v="268"/>
        <n v="269"/>
        <n v="270"/>
        <n v="271"/>
        <n v="272"/>
        <n v="273"/>
        <n v="274"/>
        <n v="275"/>
        <n v="277"/>
        <n v="278"/>
        <n v="279"/>
        <n v="280"/>
        <n v="284"/>
        <n v="285"/>
        <n v="287"/>
        <n v="288"/>
        <n v="289"/>
        <n v="290"/>
        <n v="291"/>
        <n v="292"/>
        <n v="293"/>
        <n v="294"/>
        <n v="295"/>
        <n v="296"/>
        <n v="297"/>
        <n v="298"/>
        <n v="301"/>
        <n v="303"/>
        <n v="304"/>
        <n v="305"/>
        <n v="306"/>
        <n v="307"/>
        <n v="308"/>
        <n v="309"/>
        <n v="310"/>
        <n v="311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1"/>
        <n v="332"/>
        <n v="334"/>
        <n v="335"/>
        <n v="338"/>
        <n v="339"/>
        <n v="340"/>
        <n v="341"/>
        <n v="342"/>
        <n v="343"/>
        <n v="346"/>
        <n v="347"/>
        <n v="348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7"/>
        <n v="398"/>
        <n v="399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3"/>
        <n v="434"/>
        <n v="435"/>
        <n v="436"/>
        <n v="437"/>
        <n v="440"/>
        <n v="441"/>
        <n v="442"/>
        <n v="443"/>
        <n v="444"/>
        <n v="446"/>
        <n v="447"/>
        <n v="448"/>
        <n v="449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2"/>
        <n v="514"/>
        <n v="515"/>
        <n v="516"/>
        <n v="517"/>
        <n v="518"/>
        <n v="519"/>
        <n v="520"/>
        <n v="521"/>
        <n v="522"/>
        <n v="524"/>
        <n v="525"/>
        <n v="526"/>
        <n v="527"/>
        <n v="528"/>
        <n v="530"/>
        <n v="532"/>
        <n v="533"/>
        <n v="534"/>
        <n v="535"/>
        <n v="536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7"/>
        <n v="560"/>
        <n v="561"/>
        <n v="563"/>
        <n v="564"/>
        <n v="565"/>
        <n v="567"/>
        <n v="568"/>
        <n v="569"/>
        <n v="570"/>
        <n v="571"/>
        <n v="572"/>
        <n v="573"/>
        <n v="574"/>
        <n v="575"/>
        <n v="578"/>
        <n v="580"/>
        <n v="581"/>
        <n v="582"/>
        <n v="583"/>
        <n v="584"/>
        <n v="585"/>
        <n v="586"/>
        <n v="588"/>
        <n v="590"/>
        <n v="591"/>
        <n v="592"/>
        <n v="593"/>
        <n v="594"/>
        <n v="596"/>
        <n v="597"/>
        <n v="599"/>
        <n v="601"/>
        <n v="604"/>
        <n v="605"/>
        <n v="606"/>
        <n v="612"/>
        <n v="613"/>
        <n v="614"/>
        <n v="616"/>
        <n v="617"/>
        <n v="618"/>
        <n v="622"/>
        <n v="623"/>
        <n v="624"/>
        <n v="625"/>
        <n v="628"/>
        <n v="629"/>
        <n v="630"/>
        <n v="631"/>
        <n v="633"/>
        <n v="636"/>
        <n v="639"/>
        <n v="642"/>
        <n v="643"/>
        <n v="644"/>
        <n v="646"/>
        <n v="647"/>
        <n v="648"/>
        <n v="651"/>
        <n v="653"/>
        <n v="656"/>
        <n v="657"/>
        <n v="658"/>
        <n v="661"/>
        <n v="662"/>
        <n v="664"/>
        <n v="665"/>
        <n v="671"/>
        <n v="672"/>
        <n v="677"/>
        <n v="684"/>
        <n v="686"/>
        <n v="687"/>
        <n v="688"/>
        <n v="689"/>
        <n v="692"/>
        <n v="694"/>
        <n v="696"/>
        <n v="698"/>
        <n v="700"/>
        <n v="703"/>
        <n v="708"/>
        <n v="711"/>
        <n v="712"/>
        <n v="714"/>
        <n v="715"/>
        <n v="718"/>
        <n v="720"/>
        <n v="730"/>
        <n v="741"/>
        <n v="762"/>
        <n v="767"/>
        <n v="773"/>
        <n v="779"/>
        <n v="780"/>
        <n v="781"/>
        <n v="785"/>
        <n v="786"/>
        <n v="807"/>
        <n v="865"/>
        <n v="877"/>
        <n v="881"/>
      </sharedItems>
    </cacheField>
    <cacheField name="data_gb" numFmtId="0">
      <sharedItems containsSemiMixedTypes="0" containsString="0" containsNumber="1" minValue="0" maxValue="50.94" count="813">
        <n v="0.5"/>
        <n v="0.6"/>
        <n v="0.61"/>
        <n v="0.73"/>
        <n v="0.78"/>
        <n v="0.94"/>
        <n v="1.15"/>
        <n v="1.39"/>
        <n v="1.54"/>
        <n v="1.7"/>
        <n v="1.95"/>
        <n v="1.97"/>
        <n v="2.17"/>
        <n v="2.2"/>
        <n v="2.34"/>
        <n v="2.36"/>
        <n v="2.38"/>
        <n v="2.42"/>
        <n v="2.82"/>
        <n v="3.06"/>
        <n v="3.19"/>
        <n v="3.21"/>
        <n v="3.39"/>
        <n v="3.4"/>
        <n v="3.44"/>
        <n v="3.45"/>
        <n v="3.5"/>
        <n v="3.54"/>
        <n v="3.58"/>
        <n v="3.77"/>
        <n v="3.91"/>
        <n v="3.98"/>
        <n v="3.99"/>
        <n v="4.02"/>
        <n v="4.03"/>
        <n v="4.16"/>
        <n v="4.18"/>
        <n v="4.2"/>
        <n v="4.21"/>
        <n v="4.3"/>
        <n v="4.32"/>
        <n v="4.33"/>
        <n v="4.51"/>
        <n v="4.53"/>
        <n v="4.56"/>
        <n v="4.57"/>
        <n v="4.58"/>
        <n v="4.64"/>
        <n v="4.71"/>
        <n v="4.75"/>
        <n v="4.78"/>
        <n v="4.88"/>
        <n v="4.96"/>
        <n v="5.05"/>
        <n v="5.07"/>
        <n v="5.36"/>
        <n v="5.37"/>
        <n v="5.49"/>
        <n v="5.58"/>
        <n v="5.64"/>
        <n v="5.65"/>
        <n v="5.68"/>
        <n v="5.7"/>
        <n v="5.78"/>
        <n v="5.85"/>
        <n v="5.87"/>
        <n v="5.88"/>
        <n v="5.91"/>
        <n v="5.96"/>
        <n v="6.16"/>
        <n v="6.29"/>
        <n v="6.31"/>
        <n v="6.32"/>
        <n v="6.46"/>
        <n v="6.52"/>
        <n v="6.53"/>
        <n v="6.54"/>
        <n v="6.55"/>
        <n v="6.59"/>
        <n v="6.62"/>
        <n v="6.72"/>
        <n v="6.77"/>
        <n v="6.78"/>
        <n v="6.86"/>
        <n v="6.88"/>
        <n v="6.95"/>
        <n v="7.05"/>
        <n v="7.06"/>
        <n v="7.11"/>
        <n v="7.12"/>
        <n v="7.13"/>
        <n v="7.14"/>
        <n v="7.18"/>
        <n v="7.25"/>
        <n v="7.28"/>
        <n v="7.33"/>
        <n v="7.35"/>
        <n v="7.49"/>
        <n v="7.54"/>
        <n v="7.56"/>
        <n v="7.59"/>
        <n v="7.63"/>
        <n v="7.66"/>
        <n v="7.67"/>
        <n v="7.69"/>
        <n v="7.74"/>
        <n v="7.77"/>
        <n v="7.83"/>
        <n v="7.88"/>
        <n v="7.89"/>
        <n v="7.92"/>
        <n v="7.93"/>
        <n v="7.94"/>
        <n v="7.96"/>
        <n v="8.08"/>
        <n v="8.18"/>
        <n v="8.19"/>
        <n v="8.21"/>
        <n v="8.31"/>
        <n v="8.34"/>
        <n v="8.35"/>
        <n v="8.43"/>
        <n v="8.47"/>
        <n v="8.52"/>
        <n v="8.58"/>
        <n v="8.63"/>
        <n v="8.88"/>
        <n v="8.89"/>
        <n v="8.9"/>
        <n v="8.94"/>
        <n v="9.09"/>
        <n v="9.24"/>
        <n v="9.25"/>
        <n v="9.27"/>
        <n v="9.38"/>
        <n v="9.43"/>
        <n v="9.44"/>
        <n v="9.49"/>
        <n v="9.5"/>
        <n v="9.58"/>
        <n v="9.63"/>
        <n v="9.64"/>
        <n v="9.69"/>
        <n v="9.8"/>
        <n v="9.85"/>
        <n v="9.93"/>
        <n v="9.99"/>
        <n v="10.02"/>
        <n v="10.07"/>
        <n v="10.1"/>
        <n v="10.13"/>
        <n v="10.14"/>
        <n v="10.15"/>
        <n v="10.18"/>
        <n v="10.22"/>
        <n v="10.29"/>
        <n v="10.3"/>
        <n v="10.31"/>
        <n v="10.32"/>
        <n v="10.36"/>
        <n v="10.39"/>
        <n v="10.41"/>
        <n v="10.43"/>
        <n v="10.48"/>
        <n v="10.55"/>
        <n v="10.6"/>
        <n v="10.67"/>
        <n v="10.7"/>
        <n v="10.74"/>
        <n v="10.77"/>
        <n v="10.8"/>
        <n v="10.81"/>
        <n v="10.92"/>
        <n v="10.95"/>
        <n v="11.07"/>
        <n v="11.12"/>
        <n v="11.13"/>
        <n v="11.22"/>
        <n v="11.36"/>
        <n v="11.37"/>
        <n v="11.38"/>
        <n v="11.42"/>
        <n v="11.46"/>
        <n v="11.48"/>
        <n v="11.52"/>
        <n v="11.53"/>
        <n v="11.54"/>
        <n v="11.58"/>
        <n v="11.65"/>
        <n v="11.67"/>
        <n v="11.72"/>
        <n v="11.77"/>
        <n v="11.81"/>
        <n v="11.84"/>
        <n v="11.89"/>
        <n v="11.93"/>
        <n v="11.94"/>
        <n v="12"/>
        <n v="12.01"/>
        <n v="12.06"/>
        <n v="12.07"/>
        <n v="12.1"/>
        <n v="12.14"/>
        <n v="12.15"/>
        <n v="12.17"/>
        <n v="12.26"/>
        <n v="12.27"/>
        <n v="12.29"/>
        <n v="12.33"/>
        <n v="12.36"/>
        <n v="12.39"/>
        <n v="12.4"/>
        <n v="12.41"/>
        <n v="12.42"/>
        <n v="12.52"/>
        <n v="12.53"/>
        <n v="12.56"/>
        <n v="12.6"/>
        <n v="12.66"/>
        <n v="12.71"/>
        <n v="12.72"/>
        <n v="12.76"/>
        <n v="12.8"/>
        <n v="12.99"/>
        <n v="13.02"/>
        <n v="13.1"/>
        <n v="13.12"/>
        <n v="13.14"/>
        <n v="13.15"/>
        <n v="13.17"/>
        <n v="13.23"/>
        <n v="13.26"/>
        <n v="13.29"/>
        <n v="13.34"/>
        <n v="13.37"/>
        <n v="13.38"/>
        <n v="13.4"/>
        <n v="13.42"/>
        <n v="13.46"/>
        <n v="13.47"/>
        <n v="13.48"/>
        <n v="13.49"/>
        <n v="13.53"/>
        <n v="13.56"/>
        <n v="13.59"/>
        <n v="13.6"/>
        <n v="13.61"/>
        <n v="13.62"/>
        <n v="13.66"/>
        <n v="13.67"/>
        <n v="13.75"/>
        <n v="13.76"/>
        <n v="13.77"/>
        <n v="13.8"/>
        <n v="13.82"/>
        <n v="13.83"/>
        <n v="13.84"/>
        <n v="13.85"/>
        <n v="13.94"/>
        <n v="13.95"/>
        <n v="13.97"/>
        <n v="13.99"/>
        <n v="14.01"/>
        <n v="14.04"/>
        <n v="14.07"/>
        <n v="14.08"/>
        <n v="14.1"/>
        <n v="14.12"/>
        <n v="14.22"/>
        <n v="14.25"/>
        <n v="14.26"/>
        <n v="14.29"/>
        <n v="14.31"/>
        <n v="14.34"/>
        <n v="14.35"/>
        <n v="14.39"/>
        <n v="14.4"/>
        <n v="14.42"/>
        <n v="14.46"/>
        <n v="14.49"/>
        <n v="14.51"/>
        <n v="14.52"/>
        <n v="14.56"/>
        <n v="14.58"/>
        <n v="14.62"/>
        <n v="14.66"/>
        <n v="14.67"/>
        <n v="14.69"/>
        <n v="14.72"/>
        <n v="14.75"/>
        <n v="14.78"/>
        <n v="14.82"/>
        <n v="14.9"/>
        <n v="14.93"/>
        <n v="14.94"/>
        <n v="15"/>
        <n v="15.01"/>
        <n v="15.06"/>
        <n v="15.1"/>
        <n v="15.11"/>
        <n v="15.2"/>
        <n v="15.23"/>
        <n v="15.24"/>
        <n v="15.27"/>
        <n v="15.32"/>
        <n v="15.35"/>
        <n v="15.36"/>
        <n v="15.38"/>
        <n v="15.42"/>
        <n v="15.43"/>
        <n v="15.47"/>
        <n v="15.49"/>
        <n v="15.52"/>
        <n v="15.55"/>
        <n v="15.59"/>
        <n v="15.63"/>
        <n v="15.64"/>
        <n v="15.65"/>
        <n v="15.66"/>
        <n v="15.69"/>
        <n v="15.7"/>
        <n v="15.72"/>
        <n v="15.75"/>
        <n v="15.8"/>
        <n v="15.84"/>
        <n v="15.85"/>
        <n v="15.86"/>
        <n v="15.89"/>
        <n v="15.92"/>
        <n v="15.95"/>
        <n v="15.99"/>
        <n v="16"/>
        <n v="16.03"/>
        <n v="16.07"/>
        <n v="16.09"/>
        <n v="16.1"/>
        <n v="16.12"/>
        <n v="16.17"/>
        <n v="16.19"/>
        <n v="16.2"/>
        <n v="16.24"/>
        <n v="16.28"/>
        <n v="16.29"/>
        <n v="16.3"/>
        <n v="16.33"/>
        <n v="16.34"/>
        <n v="16.38"/>
        <n v="16.43"/>
        <n v="16.51"/>
        <n v="16.54"/>
        <n v="16.56"/>
        <n v="16.58"/>
        <n v="16.6"/>
        <n v="16.63"/>
        <n v="16.64"/>
        <n v="16.65"/>
        <n v="16.71"/>
        <n v="16.74"/>
        <n v="16.77"/>
        <n v="16.81"/>
        <n v="16.85"/>
        <n v="16.86"/>
        <n v="16.87"/>
        <n v="16.91"/>
        <n v="16.92"/>
        <n v="16.95"/>
        <n v="16.96"/>
        <n v="16.99"/>
        <n v="17.02"/>
        <n v="17.05"/>
        <n v="17.08"/>
        <n v="17.09"/>
        <n v="17.1"/>
        <n v="17.14"/>
        <n v="17.15"/>
        <n v="17.19"/>
        <n v="17.24"/>
        <n v="17.31"/>
        <n v="17.32"/>
        <n v="17.34"/>
        <n v="17.36"/>
        <n v="17.39"/>
        <n v="17.4"/>
        <n v="17.41"/>
        <n v="17.42"/>
        <n v="17.45"/>
        <n v="17.52"/>
        <n v="17.54"/>
        <n v="17.55"/>
        <n v="17.57"/>
        <n v="17.58"/>
        <n v="17.59"/>
        <n v="17.64"/>
        <n v="17.68"/>
        <n v="17.7"/>
        <n v="17.72"/>
        <n v="17.78"/>
        <n v="17.82"/>
        <n v="17.84"/>
        <n v="17.85"/>
        <n v="17.89"/>
        <n v="17.92"/>
        <n v="17.93"/>
        <n v="17.99"/>
        <n v="18.01"/>
        <n v="18.06"/>
        <n v="18.11"/>
        <n v="18.14"/>
        <n v="18.15"/>
        <n v="18.18"/>
        <n v="18.19"/>
        <n v="18.2"/>
        <n v="18.21"/>
        <n v="18.27"/>
        <n v="18.3"/>
        <n v="18.34"/>
        <n v="18.38"/>
        <n v="18.39"/>
        <n v="18.4"/>
        <n v="18.41"/>
        <n v="18.42"/>
        <n v="18.43"/>
        <n v="18.44"/>
        <n v="18.49"/>
        <n v="18.5"/>
        <n v="18.57"/>
        <n v="18.64"/>
        <n v="18.65"/>
        <n v="18.71"/>
        <n v="18.73"/>
        <n v="18.74"/>
        <n v="18.76"/>
        <n v="18.78"/>
        <n v="18.79"/>
        <n v="18.82"/>
        <n v="18.92"/>
        <n v="18.95"/>
        <n v="18.96"/>
        <n v="19.02"/>
        <n v="19.08"/>
        <n v="19.11"/>
        <n v="19.14"/>
        <n v="19.16"/>
        <n v="19.18"/>
        <n v="19.21"/>
        <n v="19.24"/>
        <n v="19.27"/>
        <n v="19.29"/>
        <n v="19.34"/>
        <n v="19.35"/>
        <n v="19.36"/>
        <n v="19.37"/>
        <n v="19.41"/>
        <n v="19.46"/>
        <n v="19.47"/>
        <n v="19.48"/>
        <n v="19.52"/>
        <n v="19.62"/>
        <n v="19.63"/>
        <n v="19.64"/>
        <n v="19.66"/>
        <n v="19.67"/>
        <n v="19.77"/>
        <n v="19.78"/>
        <n v="19.84"/>
        <n v="19.86"/>
        <n v="19.9"/>
        <n v="19.94"/>
        <n v="19.97"/>
        <n v="19.99"/>
        <n v="20"/>
        <n v="20.01"/>
        <n v="20.03"/>
        <n v="20.04"/>
        <n v="20.05"/>
        <n v="20.06"/>
        <n v="20.07"/>
        <n v="20.09"/>
        <n v="20.1"/>
        <n v="20.12"/>
        <n v="20.14"/>
        <n v="20.19"/>
        <n v="20.21"/>
        <n v="20.23"/>
        <n v="20.24"/>
        <n v="20.41"/>
        <n v="20.48"/>
        <n v="20.49"/>
        <n v="20.5"/>
        <n v="20.51"/>
        <n v="20.65"/>
        <n v="20.7"/>
        <n v="20.73"/>
        <n v="20.74"/>
        <n v="20.85"/>
        <n v="21"/>
        <n v="21.16"/>
        <n v="21.3"/>
        <n v="21.32"/>
        <n v="21.37"/>
        <n v="21.38"/>
        <n v="21.39"/>
        <n v="21.45"/>
        <n v="21.48"/>
        <n v="21.5"/>
        <n v="21.51"/>
        <n v="21.56"/>
        <n v="21.6"/>
        <n v="21.76"/>
        <n v="21.8"/>
        <n v="21.82"/>
        <n v="21.83"/>
        <n v="21.84"/>
        <n v="21.89"/>
        <n v="21.92"/>
        <n v="21.98"/>
        <n v="22"/>
        <n v="22.04"/>
        <n v="22.11"/>
        <n v="22.13"/>
        <n v="22.14"/>
        <n v="22.18"/>
        <n v="22.2"/>
        <n v="22.21"/>
        <n v="22.23"/>
        <n v="22.27"/>
        <n v="22.35"/>
        <n v="22.39"/>
        <n v="22.44"/>
        <n v="22.51"/>
        <n v="22.56"/>
        <n v="22.6"/>
        <n v="22.62"/>
        <n v="22.63"/>
        <n v="22.66"/>
        <n v="22.67"/>
        <n v="22.71"/>
        <n v="22.72"/>
        <n v="22.78"/>
        <n v="22.81"/>
        <n v="22.88"/>
        <n v="22.89"/>
        <n v="22.9"/>
        <n v="22.93"/>
        <n v="23.07"/>
        <n v="23.1"/>
        <n v="23.15"/>
        <n v="23.16"/>
        <n v="23.18"/>
        <n v="23.19"/>
        <n v="23.22"/>
        <n v="23.25"/>
        <n v="23.32"/>
        <n v="23.38"/>
        <n v="23.39"/>
        <n v="23.44"/>
        <n v="23.48"/>
        <n v="23.49"/>
        <n v="23.53"/>
        <n v="23.55"/>
        <n v="23.56"/>
        <n v="23.57"/>
        <n v="23.6"/>
        <n v="23.61"/>
        <n v="23.66"/>
        <n v="23.7"/>
        <n v="23.71"/>
        <n v="23.72"/>
        <n v="23.77"/>
        <n v="23.8"/>
        <n v="23.82"/>
        <n v="23.83"/>
        <n v="23.86"/>
        <n v="23.89"/>
        <n v="23.91"/>
        <n v="23.96"/>
        <n v="24"/>
        <n v="24.03"/>
        <n v="24.06"/>
        <n v="24.07"/>
        <n v="24.08"/>
        <n v="24.11"/>
        <n v="24.12"/>
        <n v="24.16"/>
        <n v="24.19"/>
        <n v="24.21"/>
        <n v="24.24"/>
        <n v="24.26"/>
        <n v="24.28"/>
        <n v="24.3"/>
        <n v="24.32"/>
        <n v="24.42"/>
        <n v="24.48"/>
        <n v="24.5"/>
        <n v="24.51"/>
        <n v="24.61"/>
        <n v="24.62"/>
        <n v="24.63"/>
        <n v="24.67"/>
        <n v="24.71"/>
        <n v="24.72"/>
        <n v="24.76"/>
        <n v="24.79"/>
        <n v="24.85"/>
        <n v="24.96"/>
        <n v="25.02"/>
        <n v="25.06"/>
        <n v="25.07"/>
        <n v="25.1"/>
        <n v="25.11"/>
        <n v="25.2"/>
        <n v="25.26"/>
        <n v="25.39"/>
        <n v="25.4"/>
        <n v="25.43"/>
        <n v="25.44"/>
        <n v="25.53"/>
        <n v="25.56"/>
        <n v="25.58"/>
        <n v="25.59"/>
        <n v="25.6"/>
        <n v="25.65"/>
        <n v="25.67"/>
        <n v="25.74"/>
        <n v="25.78"/>
        <n v="25.95"/>
        <n v="26"/>
        <n v="26.01"/>
        <n v="26.1"/>
        <n v="26.12"/>
        <n v="26.13"/>
        <n v="26.19"/>
        <n v="26.3"/>
        <n v="26.33"/>
        <n v="26.38"/>
        <n v="26.43"/>
        <n v="26.45"/>
        <n v="26.47"/>
        <n v="26.5"/>
        <n v="26.68"/>
        <n v="26.76"/>
        <n v="26.83"/>
        <n v="26.84"/>
        <n v="27.01"/>
        <n v="27.04"/>
        <n v="27.06"/>
        <n v="27.08"/>
        <n v="27.09"/>
        <n v="27.18"/>
        <n v="27.19"/>
        <n v="27.2"/>
        <n v="27.24"/>
        <n v="27.36"/>
        <n v="27.41"/>
        <n v="27.5"/>
        <n v="27.51"/>
        <n v="27.61"/>
        <n v="27.7"/>
        <n v="27.73"/>
        <n v="27.74"/>
        <n v="27.9"/>
        <n v="27.94"/>
        <n v="27.97"/>
        <n v="28.08"/>
        <n v="28.11"/>
        <n v="28.16"/>
        <n v="28.32"/>
        <n v="28.39"/>
        <n v="28.46"/>
        <n v="28.48"/>
        <n v="28.51"/>
        <n v="28.54"/>
        <n v="28.59"/>
        <n v="28.61"/>
        <n v="28.63"/>
        <n v="28.65"/>
        <n v="28.72"/>
        <n v="28.79"/>
        <n v="28.82"/>
        <n v="28.87"/>
        <n v="28.89"/>
        <n v="28.91"/>
        <n v="28.92"/>
        <n v="28.98"/>
        <n v="28.99"/>
        <n v="29.04"/>
        <n v="29.1"/>
        <n v="29.22"/>
        <n v="29.31"/>
        <n v="29.47"/>
        <n v="29.5"/>
        <n v="29.53"/>
        <n v="29.55"/>
        <n v="29.59"/>
        <n v="29.67"/>
        <n v="29.7"/>
        <n v="29.72"/>
        <n v="29.74"/>
        <n v="29.81"/>
        <n v="29.83"/>
        <n v="29.91"/>
        <n v="30"/>
        <n v="30.09"/>
        <n v="30.15"/>
        <n v="30.27"/>
        <n v="30.3"/>
        <n v="30.35"/>
        <n v="30.39"/>
        <n v="30.4"/>
        <n v="30.49"/>
        <n v="30.51"/>
        <n v="30.52"/>
        <n v="30.55"/>
        <n v="30.62"/>
        <n v="30.66"/>
        <n v="30.71"/>
        <n v="30.72"/>
        <n v="30.87"/>
        <n v="30.89"/>
        <n v="30.9"/>
        <n v="30.91"/>
        <n v="31.19"/>
        <n v="31.36"/>
        <n v="31.49"/>
        <n v="31.51"/>
        <n v="31.57"/>
        <n v="31.71"/>
        <n v="31.75"/>
        <n v="31.82"/>
        <n v="31.83"/>
        <n v="31.86"/>
        <n v="31.88"/>
        <n v="31.91"/>
        <n v="32.04"/>
        <n v="32.11"/>
        <n v="32.19"/>
        <n v="32.25"/>
        <n v="32.41"/>
        <n v="32.44"/>
        <n v="32.49"/>
        <n v="32.57"/>
        <n v="32.58"/>
        <n v="32.63"/>
        <n v="32.64"/>
        <n v="32.78"/>
        <n v="32.8"/>
        <n v="32.87"/>
        <n v="32.92"/>
        <n v="32.93"/>
        <n v="32.96"/>
        <n v="33"/>
        <n v="33.16"/>
        <n v="33.2"/>
        <n v="33.36"/>
        <n v="33.4"/>
        <n v="33.44"/>
        <n v="33.46"/>
        <n v="33.47"/>
        <n v="33.57"/>
        <n v="33.71"/>
        <n v="33.79"/>
        <n v="34.09"/>
        <n v="34.1"/>
        <n v="34.15"/>
        <n v="34.22"/>
        <n v="34.29"/>
        <n v="34.49"/>
        <n v="34.67"/>
        <n v="34.74"/>
        <n v="34.8"/>
        <n v="34.84"/>
        <n v="34.88"/>
        <n v="34.97"/>
        <n v="35.1"/>
        <n v="35.18"/>
        <n v="35.35"/>
        <n v="35.61"/>
        <n v="35.68"/>
        <n v="35.73"/>
        <n v="35.74"/>
        <n v="35.76"/>
        <n v="35.85"/>
        <n v="35.91"/>
        <n v="36.02"/>
        <n v="36.21"/>
        <n v="36.31"/>
        <n v="36.38"/>
        <n v="36.51"/>
        <n v="36.62"/>
        <n v="36.72"/>
        <n v="36.87"/>
        <n v="37.21"/>
        <n v="37.55"/>
        <n v="37.65"/>
        <n v="37.67"/>
        <n v="37.69"/>
        <n v="37.73"/>
        <n v="37.93"/>
        <n v="38.18"/>
        <n v="38.71"/>
        <n v="39.38"/>
        <n v="39.62"/>
        <n v="40.3"/>
        <n v="41.28"/>
        <n v="41.97"/>
        <n v="42.44"/>
        <n v="42.94"/>
        <n v="43.08"/>
        <n v="43.94"/>
        <n v="44.11"/>
        <n v="46"/>
        <n v="46.04"/>
        <n v="50.94"/>
      </sharedItems>
    </cacheField>
    <cacheField name="sms_count" numFmtId="0">
      <sharedItems containsSemiMixedTypes="0" containsString="0" containsNumber="1" containsInteger="1" minValue="0" maxValue="402" count="257">
        <n v="0"/>
        <n v="1"/>
        <n v="2"/>
        <n v="3"/>
        <n v="4"/>
        <n v="5"/>
        <n v="6"/>
        <n v="7"/>
        <n v="8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5"/>
        <n v="56"/>
        <n v="57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9"/>
        <n v="220"/>
        <n v="221"/>
        <n v="222"/>
        <n v="223"/>
        <n v="224"/>
        <n v="225"/>
        <n v="226"/>
        <n v="227"/>
        <n v="229"/>
        <n v="230"/>
        <n v="231"/>
        <n v="233"/>
        <n v="234"/>
        <n v="235"/>
        <n v="236"/>
        <n v="239"/>
        <n v="240"/>
        <n v="241"/>
        <n v="242"/>
        <n v="243"/>
        <n v="244"/>
        <n v="246"/>
        <n v="249"/>
        <n v="255"/>
        <n v="258"/>
        <n v="261"/>
        <n v="263"/>
        <n v="264"/>
        <n v="265"/>
        <n v="266"/>
        <n v="268"/>
        <n v="269"/>
        <n v="270"/>
        <n v="271"/>
        <n v="273"/>
        <n v="277"/>
        <n v="279"/>
        <n v="294"/>
        <n v="299"/>
        <n v="306"/>
        <n v="313"/>
        <n v="338"/>
        <n v="402"/>
      </sharedItems>
    </cacheField>
    <cacheField name="monthly_charges" numFmtId="0">
      <sharedItems containsSemiMixedTypes="0" containsString="0" containsNumber="1" minValue="0" maxValue="1643.8575" count="983">
        <n v="291.86"/>
        <n v="293.55"/>
        <n v="296.52"/>
        <n v="301.03"/>
        <n v="303.06"/>
        <n v="308.43"/>
        <n v="316.04"/>
        <n v="316.32"/>
        <n v="317.15"/>
        <n v="317.35"/>
        <n v="318.01"/>
        <n v="325.65"/>
        <n v="325.86"/>
        <n v="326.31"/>
        <n v="328.58"/>
        <n v="332.46"/>
        <n v="333.24"/>
        <n v="336.04"/>
        <n v="338"/>
        <n v="342.46"/>
        <n v="346.01"/>
        <n v="347.2"/>
        <n v="347.22"/>
        <n v="347.63"/>
        <n v="348.31"/>
        <n v="351.54"/>
        <n v="351.64"/>
        <n v="353.68"/>
        <n v="354.88"/>
        <n v="354.92"/>
        <n v="356.84"/>
        <n v="358.08"/>
        <n v="361.84"/>
        <n v="362.59"/>
        <n v="364.22"/>
        <n v="365.27"/>
        <n v="365.3"/>
        <n v="366.06"/>
        <n v="374.73"/>
        <n v="374.85"/>
        <n v="375.98"/>
        <n v="377.76"/>
        <n v="378.24"/>
        <n v="378.62"/>
        <n v="379.42"/>
        <n v="380.3"/>
        <n v="380.5"/>
        <n v="381.32"/>
        <n v="382.14"/>
        <n v="384.6"/>
        <n v="385.81"/>
        <n v="385.98"/>
        <n v="386.62"/>
        <n v="387.71"/>
        <n v="388.68"/>
        <n v="389.43"/>
        <n v="390.29"/>
        <n v="390.31"/>
        <n v="390.83"/>
        <n v="391.79"/>
        <n v="391.81"/>
        <n v="392.07"/>
        <n v="392.77"/>
        <n v="392.82"/>
        <n v="393.09"/>
        <n v="393.6"/>
        <n v="394.3"/>
        <n v="395.1"/>
        <n v="395.65"/>
        <n v="396.01"/>
        <n v="396.35"/>
        <n v="399.37"/>
        <n v="400.81"/>
        <n v="400.88"/>
        <n v="401.39"/>
        <n v="402.47"/>
        <n v="403.12"/>
        <n v="403.33"/>
        <n v="404.05"/>
        <n v="404.4"/>
        <n v="404.68"/>
        <n v="404.95"/>
        <n v="406.5"/>
        <n v="406.54"/>
        <n v="406.62"/>
        <n v="407.9"/>
        <n v="409.84"/>
        <n v="410.77"/>
        <n v="411"/>
        <n v="411.36"/>
        <n v="411.62"/>
        <n v="411.63"/>
        <n v="412.53"/>
        <n v="412.63"/>
        <n v="413.29"/>
        <n v="414.24"/>
        <n v="415.37"/>
        <n v="415.54"/>
        <n v="415.9"/>
        <n v="416.02"/>
        <n v="417.04"/>
        <n v="417.64"/>
        <n v="418.58"/>
        <n v="419.08"/>
        <n v="419.65"/>
        <n v="419.67"/>
        <n v="420.07"/>
        <n v="420.52"/>
        <n v="420.56"/>
        <n v="421.57"/>
        <n v="422.02"/>
        <n v="422.03"/>
        <n v="422.18"/>
        <n v="422.2"/>
        <n v="423.4"/>
        <n v="423.67"/>
        <n v="423.85"/>
        <n v="423.86"/>
        <n v="424.4"/>
        <n v="424.99"/>
        <n v="425.63"/>
        <n v="425.68"/>
        <n v="426.14"/>
        <n v="426.38"/>
        <n v="426.73"/>
        <n v="427.16"/>
        <n v="427.56"/>
        <n v="428.17"/>
        <n v="428.19"/>
        <n v="428.57"/>
        <n v="430.11"/>
        <n v="430.18"/>
        <n v="431"/>
        <n v="431.78"/>
        <n v="432.14"/>
        <n v="432.72"/>
        <n v="433.22"/>
        <n v="433.73"/>
        <n v="434.07"/>
        <n v="434.49"/>
        <n v="434.8"/>
        <n v="435.55"/>
        <n v="438.68"/>
        <n v="439.14"/>
        <n v="441.25"/>
        <n v="441.93"/>
        <n v="442"/>
        <n v="442.47"/>
        <n v="443.29"/>
        <n v="443.72"/>
        <n v="443.85"/>
        <n v="444.7"/>
        <n v="444.77"/>
        <n v="444.86"/>
        <n v="445.1"/>
        <n v="445.69"/>
        <n v="445.87"/>
        <n v="446.08"/>
        <n v="446.27"/>
        <n v="446.39"/>
        <n v="447.03"/>
        <n v="447.18"/>
        <n v="447.57"/>
        <n v="448.08"/>
        <n v="448.36"/>
        <n v="448.55"/>
        <n v="449.42"/>
        <n v="450.29"/>
        <n v="450.5"/>
        <n v="450.56"/>
        <n v="450.76"/>
        <n v="451.33"/>
        <n v="451.98"/>
        <n v="452.88"/>
        <n v="453.13"/>
        <n v="453.22"/>
        <n v="454.48"/>
        <n v="455.28"/>
        <n v="456.31"/>
        <n v="457.5"/>
        <n v="457.61"/>
        <n v="457.97"/>
        <n v="458.06"/>
        <n v="458.31"/>
        <n v="458.32"/>
        <n v="458.34"/>
        <n v="458.66"/>
        <n v="459.68"/>
        <n v="459.74"/>
        <n v="459.88"/>
        <n v="459.92"/>
        <n v="460.19"/>
        <n v="461.59"/>
        <n v="462.3"/>
        <n v="462.4"/>
        <n v="462.43"/>
        <n v="462.58"/>
        <n v="463.95"/>
        <n v="464.33"/>
        <n v="465.22"/>
        <n v="467.04"/>
        <n v="467.86"/>
        <n v="467.95"/>
        <n v="469.11"/>
        <n v="469.38"/>
        <n v="470.11"/>
        <n v="470.92"/>
        <n v="471.16"/>
        <n v="471.31"/>
        <n v="471.39"/>
        <n v="472.26"/>
        <n v="472.43"/>
        <n v="472.74"/>
        <n v="473.94"/>
        <n v="475.58"/>
        <n v="475.88"/>
        <n v="476.27"/>
        <n v="476.6"/>
        <n v="477.53"/>
        <n v="477.75"/>
        <n v="478.02"/>
        <n v="479.29"/>
        <n v="479.83"/>
        <n v="480.77"/>
        <n v="480.96"/>
        <n v="482.22"/>
        <n v="482.86"/>
        <n v="483.58"/>
        <n v="483.91"/>
        <n v="484.08"/>
        <n v="484.67"/>
        <n v="485.08"/>
        <n v="485.81"/>
        <n v="486.12"/>
        <n v="486.6"/>
        <n v="486.83"/>
        <n v="487.19"/>
        <n v="487.62"/>
        <n v="488.07"/>
        <n v="488.21"/>
        <n v="488.72"/>
        <n v="488.78"/>
        <n v="488.84"/>
        <n v="489.54"/>
        <n v="490.14"/>
        <n v="490.87"/>
        <n v="491.39"/>
        <n v="493.01"/>
        <n v="493.09"/>
        <n v="494.19"/>
        <n v="496.79"/>
        <n v="497.29"/>
        <n v="497.77"/>
        <n v="498.2"/>
        <n v="498.37"/>
        <n v="501.89"/>
        <n v="502.48"/>
        <n v="502.67"/>
        <n v="503.08"/>
        <n v="503.49"/>
        <n v="503.62"/>
        <n v="503.8"/>
        <n v="503.83"/>
        <n v="503.95"/>
        <n v="504.38"/>
        <n v="504.52"/>
        <n v="504.57"/>
        <n v="504.68"/>
        <n v="504.75"/>
        <n v="505.48"/>
        <n v="507.07"/>
        <n v="507.34"/>
        <n v="507.36"/>
        <n v="507.8"/>
        <n v="510"/>
        <n v="510.88"/>
        <n v="511.04"/>
        <n v="511.06"/>
        <n v="512.19"/>
        <n v="512.24"/>
        <n v="513.37"/>
        <n v="513.64"/>
        <n v="515.62"/>
        <n v="515.76"/>
        <n v="516.58"/>
        <n v="517.74"/>
        <n v="517.76"/>
        <n v="517.86"/>
        <n v="517.89"/>
        <n v="518.32"/>
        <n v="518.37"/>
        <n v="518.65"/>
        <n v="519.69"/>
        <n v="519.71"/>
        <n v="521.19"/>
        <n v="521.49"/>
        <n v="522.68"/>
        <n v="523.22"/>
        <n v="523.63"/>
        <n v="525.53"/>
        <n v="526.31"/>
        <n v="526.41"/>
        <n v="526.72"/>
        <n v="529.35"/>
        <n v="529.73"/>
        <n v="529.81"/>
        <n v="531.36"/>
        <n v="533.74"/>
        <n v="536.23"/>
        <n v="536.25"/>
        <n v="536.3"/>
        <n v="536.65"/>
        <n v="536.67"/>
        <n v="537.43"/>
        <n v="538.64"/>
        <n v="538.73"/>
        <n v="540.01"/>
        <n v="540.3"/>
        <n v="542.97"/>
        <n v="542.99"/>
        <n v="546.86"/>
        <n v="547.44"/>
        <n v="548.69"/>
        <n v="548.79"/>
        <n v="549.72"/>
        <n v="550.16"/>
        <n v="551.29"/>
        <n v="552.63"/>
        <n v="555.09"/>
        <n v="556.12"/>
        <n v="556.74"/>
        <n v="559.6"/>
        <n v="560.4"/>
        <n v="561.02"/>
        <n v="562.78"/>
        <n v="565.9"/>
        <n v="566.35"/>
        <n v="572.05"/>
        <n v="572.88"/>
        <n v="574.76"/>
        <n v="576.67"/>
        <n v="578.17"/>
        <n v="579.59"/>
        <n v="584.71"/>
        <n v="584.75"/>
        <n v="586.12"/>
        <n v="587.1"/>
        <n v="591.44"/>
        <n v="591.87"/>
        <n v="592.61"/>
        <n v="593.63"/>
        <n v="595.47"/>
        <n v="598.62"/>
        <n v="601.11"/>
        <n v="602.29"/>
        <n v="604.74"/>
        <n v="606.58"/>
        <n v="607.83"/>
        <n v="608.65"/>
        <n v="610.95"/>
        <n v="613.22"/>
        <n v="615.45"/>
        <n v="616.25"/>
        <n v="616.43"/>
        <n v="618.5"/>
        <n v="619.09"/>
        <n v="620.93"/>
        <n v="622.88"/>
        <n v="623.03"/>
        <n v="624.67"/>
        <n v="627.32"/>
        <n v="627.57"/>
        <n v="628.43"/>
        <n v="630.75"/>
        <n v="634.43"/>
        <n v="635.21"/>
        <n v="636.37"/>
        <n v="639.84"/>
        <n v="642.23"/>
        <n v="644.37"/>
        <n v="644.72"/>
        <n v="645.14"/>
        <n v="645.22"/>
        <n v="645.56"/>
        <n v="646.34"/>
        <n v="646.59"/>
        <n v="647.36"/>
        <n v="647.64"/>
        <n v="649.61"/>
        <n v="649.67"/>
        <n v="650"/>
        <n v="655.68"/>
        <n v="656.68"/>
        <n v="657.95"/>
        <n v="659.31"/>
        <n v="660.62"/>
        <n v="661.66"/>
        <n v="663.31"/>
        <n v="663.93"/>
        <n v="664.5"/>
        <n v="665.39"/>
        <n v="665.69"/>
        <n v="666.11"/>
        <n v="666.2"/>
        <n v="666.82"/>
        <n v="667.11"/>
        <n v="667.54"/>
        <n v="670.95"/>
        <n v="671.82"/>
        <n v="674.24"/>
        <n v="679.87"/>
        <n v="680.8"/>
        <n v="681.44"/>
        <n v="681.99"/>
        <n v="682.7"/>
        <n v="682.89"/>
        <n v="684.72"/>
        <n v="685.26"/>
        <n v="687.11"/>
        <n v="687.16"/>
        <n v="687.44"/>
        <n v="687.8"/>
        <n v="689.09"/>
        <n v="689.16"/>
        <n v="690.36"/>
        <n v="695.79"/>
        <n v="696.67"/>
        <n v="698.91"/>
        <n v="699"/>
        <n v="700.11"/>
        <n v="700.71"/>
        <n v="701.2"/>
        <n v="702.24"/>
        <n v="702.43"/>
        <n v="703.63"/>
        <n v="703.66"/>
        <n v="705.17"/>
        <n v="705.38"/>
        <n v="705.75"/>
        <n v="706.66"/>
        <n v="709.23"/>
        <n v="710.41"/>
        <n v="710.44"/>
        <n v="710.69"/>
        <n v="711.31"/>
        <n v="712.17"/>
        <n v="712.34"/>
        <n v="712.52"/>
        <n v="713.03"/>
        <n v="713.33"/>
        <n v="714.83"/>
        <n v="716.51"/>
        <n v="717.09"/>
        <n v="717.9"/>
        <n v="718.39"/>
        <n v="718.77"/>
        <n v="719.51"/>
        <n v="719.55"/>
        <n v="719.57"/>
        <n v="723.23"/>
        <n v="723.64"/>
        <n v="724.42"/>
        <n v="724.44"/>
        <n v="725.43"/>
        <n v="726.27"/>
        <n v="726.89"/>
        <n v="727.22"/>
        <n v="727.44"/>
        <n v="727.72"/>
        <n v="727.93"/>
        <n v="728.04"/>
        <n v="728.61"/>
        <n v="730.04"/>
        <n v="730.12"/>
        <n v="731.32"/>
        <n v="731.59"/>
        <n v="732.2"/>
        <n v="732.22"/>
        <n v="732.3"/>
        <n v="732.62"/>
        <n v="733.11"/>
        <n v="733.12"/>
        <n v="733.52"/>
        <n v="733.97"/>
        <n v="734.27"/>
        <n v="734.88"/>
        <n v="735.39"/>
        <n v="736.28"/>
        <n v="736.77"/>
        <n v="738.38"/>
        <n v="738.7"/>
        <n v="740.11"/>
        <n v="740.16"/>
        <n v="740.59"/>
        <n v="740.6"/>
        <n v="741.18"/>
        <n v="741.89"/>
        <n v="742.52"/>
        <n v="742.76"/>
        <n v="742.87"/>
        <n v="742.88"/>
        <n v="743.38"/>
        <n v="743.5"/>
        <n v="743.62"/>
        <n v="743.83"/>
        <n v="743.99"/>
        <n v="744.45"/>
        <n v="744.68"/>
        <n v="744.94"/>
        <n v="745.04"/>
        <n v="745.99"/>
        <n v="747.11"/>
        <n v="747.13"/>
        <n v="747.3"/>
        <n v="748.02"/>
        <n v="750.43"/>
        <n v="751.25"/>
        <n v="751.26"/>
        <n v="751.75"/>
        <n v="752.47"/>
        <n v="752.9"/>
        <n v="755.17"/>
        <n v="756.16"/>
        <n v="756.37"/>
        <n v="756.81"/>
        <n v="757.01"/>
        <n v="757.1"/>
        <n v="757.48"/>
        <n v="757.79"/>
        <n v="757.85"/>
        <n v="757.92"/>
        <n v="757.97"/>
        <n v="758.6"/>
        <n v="758.89"/>
        <n v="758.95"/>
        <n v="761.52"/>
        <n v="763.69"/>
        <n v="765.91"/>
        <n v="766.15"/>
        <n v="767.09"/>
        <n v="767.1"/>
        <n v="767.7"/>
        <n v="768.61"/>
        <n v="770.86"/>
        <n v="771.53"/>
        <n v="772.21"/>
        <n v="772.85"/>
        <n v="773.46"/>
        <n v="773.53"/>
        <n v="773.63"/>
        <n v="774.48"/>
        <n v="774.7"/>
        <n v="775.65"/>
        <n v="775.96"/>
        <n v="776.55"/>
        <n v="776.75"/>
        <n v="778.09"/>
        <n v="778.21"/>
        <n v="778.33"/>
        <n v="778.34"/>
        <n v="779.6"/>
        <n v="780.11"/>
        <n v="780.3"/>
        <n v="780.53"/>
        <n v="781.47"/>
        <n v="781.5"/>
        <n v="781.96"/>
        <n v="782.31"/>
        <n v="782.63"/>
        <n v="782.83"/>
        <n v="783.31"/>
        <n v="784.26"/>
        <n v="784.79"/>
        <n v="784.98"/>
        <n v="785.2"/>
        <n v="785.67"/>
        <n v="786.33"/>
        <n v="786.71"/>
        <n v="787.57"/>
        <n v="787.8"/>
        <n v="789.46"/>
        <n v="789.52"/>
        <n v="789.7"/>
        <n v="790.17"/>
        <n v="790.24"/>
        <n v="790.98"/>
        <n v="791.74"/>
        <n v="791.88"/>
        <n v="792.04"/>
        <n v="794.49"/>
        <n v="794.61"/>
        <n v="794.77"/>
        <n v="794.83"/>
        <n v="795.53"/>
        <n v="795.99"/>
        <n v="796.97"/>
        <n v="797.05"/>
        <n v="797.13"/>
        <n v="797.2"/>
        <n v="797.48"/>
        <n v="800.08"/>
        <n v="800.37"/>
        <n v="802.24"/>
        <n v="804.25"/>
        <n v="804.61"/>
        <n v="805.04"/>
        <n v="806.29"/>
        <n v="806.72"/>
        <n v="806.84"/>
        <n v="807.21"/>
        <n v="807.63"/>
        <n v="808.12"/>
        <n v="809.5"/>
        <n v="809.69"/>
        <n v="811.07"/>
        <n v="811.08"/>
        <n v="811.1"/>
        <n v="812.75"/>
        <n v="813.24"/>
        <n v="814.08"/>
        <n v="820.3"/>
        <n v="820.42"/>
        <n v="821.73"/>
        <n v="821.83"/>
        <n v="821.91"/>
        <n v="822.22"/>
        <n v="822.57"/>
        <n v="823.61"/>
        <n v="824.43"/>
        <n v="824.64"/>
        <n v="825.78"/>
        <n v="825.94"/>
        <n v="826.62"/>
        <n v="827.52"/>
        <n v="828.5"/>
        <n v="829.01"/>
        <n v="830.94"/>
        <n v="831.81"/>
        <n v="832.19"/>
        <n v="832.41"/>
        <n v="835.32"/>
        <n v="835.42"/>
        <n v="836.06"/>
        <n v="836.78"/>
        <n v="837.43"/>
        <n v="838.84"/>
        <n v="838.93"/>
        <n v="840"/>
        <n v="842.47"/>
        <n v="843.64"/>
        <n v="846.76"/>
        <n v="846.82"/>
        <n v="847.47"/>
        <n v="847.79"/>
        <n v="847.86"/>
        <n v="848.29"/>
        <n v="850.32"/>
        <n v="850.35"/>
        <n v="851.01"/>
        <n v="854.51"/>
        <n v="855.21"/>
        <n v="856.15"/>
        <n v="857.57"/>
        <n v="859.92"/>
        <n v="860.27"/>
        <n v="861.76"/>
        <n v="861.91"/>
        <n v="863.8"/>
        <n v="865.8"/>
        <n v="866.52"/>
        <n v="869.16"/>
        <n v="869.66"/>
        <n v="870.95"/>
        <n v="873.58"/>
        <n v="877"/>
        <n v="877.65"/>
        <n v="877.75"/>
        <n v="878.11"/>
        <n v="878.13"/>
        <n v="880.79"/>
        <n v="881"/>
        <n v="882.21"/>
        <n v="883.64"/>
        <n v="883.82"/>
        <n v="885.17"/>
        <n v="885.26"/>
        <n v="885.54"/>
        <n v="885.82"/>
        <n v="888.7"/>
        <n v="889.18"/>
        <n v="890.64"/>
        <n v="890.78"/>
        <n v="891.15"/>
        <n v="892.31"/>
        <n v="892.83"/>
        <n v="892.98"/>
        <n v="893.27"/>
        <n v="894"/>
        <n v="896.18"/>
        <n v="896.57"/>
        <n v="896.81"/>
        <n v="897.73"/>
        <n v="899.34"/>
        <n v="900.87"/>
        <n v="901.11"/>
        <n v="902.27"/>
        <n v="902.29"/>
        <n v="902.32"/>
        <n v="904.44"/>
        <n v="904.87"/>
        <n v="906.04"/>
        <n v="907.83"/>
        <n v="911.4"/>
        <n v="912.03"/>
        <n v="912.3"/>
        <n v="914.27"/>
        <n v="914.81"/>
        <n v="915.23"/>
        <n v="916.42"/>
        <n v="917.76"/>
        <n v="919.23"/>
        <n v="920.08"/>
        <n v="921.01"/>
        <n v="921.91"/>
        <n v="923.93"/>
        <n v="925.17"/>
        <n v="927.15"/>
        <n v="927.97"/>
        <n v="928.12"/>
        <n v="929.09"/>
        <n v="930.1"/>
        <n v="930.12"/>
        <n v="934.18"/>
        <n v="934.41"/>
        <n v="936.61"/>
        <n v="943.28"/>
        <n v="944.48"/>
        <n v="945.47"/>
        <n v="948.36"/>
        <n v="950.52"/>
        <n v="952.65"/>
        <n v="952.74"/>
        <n v="953.23"/>
        <n v="953.85"/>
        <n v="956.39"/>
        <n v="957.53"/>
        <n v="961.45"/>
        <n v="971.77"/>
        <n v="973.33"/>
        <n v="973.88"/>
        <n v="978.97"/>
        <n v="979.13"/>
        <n v="984.68"/>
        <n v="988.39"/>
        <n v="991.56"/>
        <n v="992.24"/>
        <n v="992.4"/>
        <n v="992.74"/>
        <n v="993.28"/>
        <n v="993.5"/>
        <n v="993.83"/>
        <n v="994.63"/>
        <n v="994.95"/>
        <n v="997.3"/>
        <n v="1002.39"/>
        <n v="1003.62"/>
        <n v="1004.53"/>
        <n v="1004.98"/>
        <n v="1006.53"/>
        <n v="1006.96"/>
        <n v="1009.22"/>
        <n v="1012.65"/>
        <n v="1015.3"/>
        <n v="1017.57"/>
        <n v="1017.61"/>
        <n v="1018.34"/>
        <n v="1019.44"/>
        <n v="1019.86"/>
        <n v="1022.5"/>
        <n v="1025.72"/>
        <n v="1027.14"/>
        <n v="1027.71"/>
        <n v="1028.57"/>
        <n v="1029.97"/>
        <n v="1034.53"/>
        <n v="1035.04"/>
        <n v="1035.91"/>
        <n v="1039.37"/>
        <n v="1042.9"/>
        <n v="1043.83"/>
        <n v="1044.38"/>
        <n v="1045.21"/>
        <n v="1045.5"/>
        <n v="1047.31"/>
        <n v="1048.37"/>
        <n v="1048.41"/>
        <n v="1048.45"/>
        <n v="1049.64"/>
        <n v="1050.5"/>
        <n v="1050.83"/>
        <n v="1052.91"/>
        <n v="1053.44"/>
        <n v="1056.09"/>
        <n v="1056.38"/>
        <n v="1057.45"/>
        <n v="1058.67"/>
        <n v="1059.18"/>
        <n v="1060"/>
        <n v="1062.13"/>
        <n v="1065.87"/>
        <n v="1067.38"/>
        <n v="1067.59"/>
        <n v="1069.03"/>
        <n v="1070.64"/>
        <n v="1073.43"/>
        <n v="1076.52"/>
        <n v="1076.78"/>
        <n v="1077.1"/>
        <n v="1079.22"/>
        <n v="1079.35"/>
        <n v="1079.37"/>
        <n v="1081.24"/>
        <n v="1083.08"/>
        <n v="1083.15"/>
        <n v="1085.61"/>
        <n v="1086.05"/>
        <n v="1086.6"/>
        <n v="1089.91"/>
        <n v="1091.53"/>
        <n v="1092.12"/>
        <n v="1095.4"/>
        <n v="1097.04"/>
        <n v="1097.68"/>
        <n v="1097.74"/>
        <n v="1100.12"/>
        <n v="1103.19"/>
        <n v="1103.32"/>
        <n v="1105.08"/>
        <n v="1105.71"/>
        <n v="1106.09"/>
        <n v="1106.23"/>
        <n v="1108.7"/>
        <n v="1110.34"/>
        <n v="1110.99"/>
        <n v="1112.09"/>
        <n v="1112.38"/>
        <n v="1114.76"/>
        <n v="1114.8"/>
        <n v="1115.88"/>
        <n v="1116.51"/>
        <n v="1116.88"/>
        <n v="1117.06"/>
        <n v="1121.8"/>
        <n v="1124.6"/>
        <n v="1126.59"/>
        <n v="1127.91"/>
        <n v="1129.67"/>
        <n v="1131.85"/>
        <n v="1131.88"/>
        <n v="1137.5"/>
        <n v="1140.95"/>
        <n v="1143.69"/>
        <n v="1143.71"/>
        <n v="1143.98"/>
        <n v="1148.2"/>
        <n v="1149.28"/>
        <n v="1149.82"/>
        <n v="1150.83"/>
        <n v="1151.59"/>
        <n v="1151.79"/>
        <n v="1153.79"/>
        <n v="1154.73"/>
        <n v="1160.2"/>
        <n v="1160.49"/>
        <n v="1160.57"/>
        <n v="1160.93"/>
        <n v="1162.98"/>
        <n v="1167.72"/>
        <n v="1170.5"/>
        <n v="1175.5"/>
        <n v="1175.69"/>
        <n v="1178.12"/>
        <n v="1178.31"/>
        <n v="1178.45"/>
        <n v="1181.82"/>
        <n v="1184.35"/>
        <n v="1185.44"/>
        <n v="1187.07"/>
        <n v="1187.55"/>
        <n v="1188.01"/>
        <n v="1190.25"/>
        <n v="1190.8"/>
        <n v="1191.32"/>
        <n v="1194.76"/>
        <n v="1195.31"/>
        <n v="1196.23"/>
        <n v="1197.3"/>
        <n v="1198.52"/>
        <n v="1199.55"/>
        <n v="1200.94"/>
        <n v="1202.53"/>
        <n v="1203.17"/>
        <n v="1204.15"/>
        <n v="1204.39"/>
        <n v="1205.2"/>
        <n v="1208.4"/>
        <n v="1208.49"/>
        <n v="1209.6"/>
        <n v="1212.02"/>
        <n v="1215.62"/>
        <n v="1216.2"/>
        <n v="1219.2"/>
        <n v="1223.79"/>
        <n v="1224.57"/>
        <n v="1225.63"/>
        <n v="1226.39"/>
        <n v="1228.48"/>
        <n v="1232.76"/>
        <n v="1234.71"/>
        <n v="1236.3"/>
        <n v="1237.82"/>
        <n v="1238.63"/>
        <n v="1239.29"/>
        <n v="1240.23"/>
        <n v="1242.2"/>
        <n v="1243.11"/>
        <n v="1246.32"/>
        <n v="1246.62"/>
        <n v="1249.22"/>
        <n v="1254.2"/>
        <n v="1259.72"/>
        <n v="1262.43"/>
        <n v="1267.14"/>
        <n v="1267.76"/>
        <n v="1271.37"/>
        <n v="1273.09"/>
        <n v="1276.93"/>
        <n v="1277.33"/>
        <n v="1278.16"/>
        <n v="1279.96"/>
        <n v="1280.29"/>
        <n v="1280.31"/>
        <n v="1282.51"/>
        <n v="1283.86"/>
        <n v="1285.57"/>
        <n v="1286.29"/>
        <n v="1289.08"/>
        <n v="1290.55"/>
        <n v="1293.78"/>
        <n v="1298.87"/>
        <n v="1300.96"/>
        <n v="1302.93"/>
        <n v="1310.88"/>
        <n v="1311.85"/>
        <n v="1314.27"/>
        <n v="1315.37"/>
        <n v="1319.5"/>
        <n v="1324.26"/>
        <n v="1328.25"/>
        <n v="1329.47"/>
        <n v="1334.09"/>
        <n v="1352.65"/>
        <n v="1355.98"/>
        <n v="1364.72"/>
        <n v="1369.28"/>
        <n v="1375.24"/>
        <n v="1377.93"/>
        <n v="1387.79"/>
        <n v="1390.13"/>
        <n v="1390.66"/>
        <n v="1409.71"/>
        <n v="1415.62"/>
        <n v="1417.16"/>
        <n v="1417.84"/>
        <n v="1419.13"/>
        <n v="1427.93"/>
        <n v="1448.65"/>
        <n v="1449.21"/>
        <n v="1455.57"/>
        <n v="1465.94"/>
        <n v="1467.34"/>
        <n v="1514"/>
        <n v="1643.8575"/>
      </sharedItems>
    </cacheField>
    <cacheField name="late_payment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payment_status" numFmtId="0">
      <sharedItems count="2">
        <s v="Late"/>
        <s v="On-time"/>
      </sharedItems>
    </cacheField>
    <cacheField name="complain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support_ticke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avg_resolution_hours" numFmtId="0">
      <sharedItems containsSemiMixedTypes="0" containsString="0" containsNumber="1" minValue="0" maxValue="73.8" count="377">
        <n v="1"/>
        <n v="1.3"/>
        <n v="1.6"/>
        <n v="1.7"/>
        <n v="1.9"/>
        <n v="2"/>
        <n v="2.1"/>
        <n v="2.5"/>
        <n v="2.6"/>
        <n v="2.8"/>
        <n v="3"/>
        <n v="3.2"/>
        <n v="3.3"/>
        <n v="3.4"/>
        <n v="3.6"/>
        <n v="3.7"/>
        <n v="4"/>
        <n v="4.1"/>
        <n v="4.2"/>
        <n v="4.3"/>
        <n v="4.5"/>
        <n v="4.7"/>
        <n v="4.8"/>
        <n v="4.9"/>
        <n v="5.1"/>
        <n v="5.5"/>
        <n v="5.7"/>
        <n v="5.9"/>
        <n v="6.1"/>
        <n v="6.3"/>
        <n v="6.4"/>
        <n v="6.5"/>
        <n v="6.6"/>
        <n v="6.7"/>
        <n v="6.9"/>
        <n v="7"/>
        <n v="7.1"/>
        <n v="7.2"/>
        <n v="7.3"/>
        <n v="7.4"/>
        <n v="7.5"/>
        <n v="7.6"/>
        <n v="7.7"/>
        <n v="7.8"/>
        <n v="8"/>
        <n v="8.1"/>
        <n v="8.2"/>
        <n v="8.3"/>
        <n v="8.4"/>
        <n v="8.5"/>
        <n v="8.6"/>
        <n v="8.7"/>
        <n v="8.8"/>
        <n v="8.9"/>
        <n v="9"/>
        <n v="9.1"/>
        <n v="9.3"/>
        <n v="9.4"/>
        <n v="9.5"/>
        <n v="9.6"/>
        <n v="9.8"/>
        <n v="10.1"/>
        <n v="10.2"/>
        <n v="10.3"/>
        <n v="10.4"/>
        <n v="10.5"/>
        <n v="10.6"/>
        <n v="10.7"/>
        <n v="10.8"/>
        <n v="10.9"/>
        <n v="11"/>
        <n v="11.1"/>
        <n v="11.3"/>
        <n v="11.4"/>
        <n v="11.6"/>
        <n v="11.7"/>
        <n v="12.1"/>
        <n v="12.2"/>
        <n v="12.3"/>
        <n v="12.5"/>
        <n v="12.6"/>
        <n v="12.8"/>
        <n v="12.9"/>
        <n v="13"/>
        <n v="13.1"/>
        <n v="13.2"/>
        <n v="13.3"/>
        <n v="13.4"/>
        <n v="13.5"/>
        <n v="13.6"/>
        <n v="13.7"/>
        <n v="13.8"/>
        <n v="13.9"/>
        <n v="14"/>
        <n v="14.1"/>
        <n v="14.2"/>
        <n v="14.3"/>
        <n v="14.4"/>
        <n v="14.5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"/>
        <n v="16.2"/>
        <n v="16.3"/>
        <n v="16.4"/>
        <n v="16.5"/>
        <n v="16.6"/>
        <n v="16.7"/>
        <n v="16.8"/>
        <n v="16.9"/>
        <n v="17"/>
        <n v="17.1"/>
        <n v="17.2"/>
        <n v="17.3"/>
        <n v="17.4"/>
        <n v="17.5"/>
        <n v="17.7"/>
        <n v="17.8"/>
        <n v="17.9"/>
        <n v="18"/>
        <n v="18.1"/>
        <n v="18.2"/>
        <n v="18.3"/>
        <n v="18.4"/>
        <n v="18.5"/>
        <n v="18.6"/>
        <n v="18.7"/>
        <n v="18.8"/>
        <n v="18.9"/>
        <n v="19"/>
        <n v="19.1"/>
        <n v="19.2"/>
        <n v="19.3"/>
        <n v="19.5"/>
        <n v="19.6"/>
        <n v="19.7"/>
        <n v="19.8"/>
        <n v="19.9"/>
        <n v="20"/>
        <n v="20.1"/>
        <n v="20.2"/>
        <n v="20.3"/>
        <n v="20.4"/>
        <n v="20.5"/>
        <n v="20.6"/>
        <n v="20.7"/>
        <n v="20.8"/>
        <n v="20.9"/>
        <n v="21"/>
        <n v="21.1"/>
        <n v="21.2"/>
        <n v="21.3"/>
        <n v="21.4"/>
        <n v="21.5"/>
        <n v="21.6"/>
        <n v="21.7"/>
        <n v="21.8"/>
        <n v="21.9"/>
        <n v="22"/>
        <n v="22.3"/>
        <n v="22.4"/>
        <n v="22.5"/>
        <n v="22.7"/>
        <n v="22.8"/>
        <n v="22.9"/>
        <n v="23"/>
        <n v="23.1"/>
        <n v="23.2"/>
        <n v="23.3"/>
        <n v="23.4"/>
        <n v="23.5"/>
        <n v="23.7"/>
        <n v="23.8"/>
        <n v="23.9"/>
        <n v="24"/>
        <n v="24.1"/>
        <n v="24.2"/>
        <n v="24.3"/>
        <n v="24.4"/>
        <n v="24.5"/>
        <n v="24.6"/>
        <n v="24.7"/>
        <n v="24.8"/>
        <n v="24.9"/>
        <n v="25"/>
        <n v="25.1"/>
        <n v="25.2"/>
        <n v="25.3"/>
        <n v="25.4"/>
        <n v="25.5"/>
        <n v="25.6"/>
        <n v="25.7"/>
        <n v="25.8"/>
        <n v="25.9"/>
        <n v="26"/>
        <n v="26.1"/>
        <n v="26.2"/>
        <n v="26.3"/>
        <n v="26.4"/>
        <n v="26.5"/>
        <n v="26.6"/>
        <n v="26.7"/>
        <n v="26.8"/>
        <n v="26.9"/>
        <n v="27"/>
        <n v="27.1"/>
        <n v="27.2"/>
        <n v="27.3"/>
        <n v="27.4"/>
        <n v="27.5"/>
        <n v="27.6"/>
        <n v="27.7"/>
        <n v="27.8"/>
        <n v="27.9"/>
        <n v="28"/>
        <n v="28.2"/>
        <n v="28.4"/>
        <n v="28.5"/>
        <n v="28.6"/>
        <n v="28.7"/>
        <n v="28.8"/>
        <n v="28.9"/>
        <n v="29"/>
        <n v="29.1"/>
        <n v="29.2"/>
        <n v="29.3"/>
        <n v="29.4"/>
        <n v="29.5"/>
        <n v="29.7"/>
        <n v="29.8"/>
        <n v="29.9"/>
        <n v="30"/>
        <n v="30.2"/>
        <n v="30.3"/>
        <n v="30.4"/>
        <n v="30.5"/>
        <n v="30.6"/>
        <n v="30.7"/>
        <n v="30.8"/>
        <n v="30.9"/>
        <n v="31"/>
        <n v="31.1"/>
        <n v="31.3"/>
        <n v="31.4"/>
        <n v="31.6"/>
        <n v="31.7"/>
        <n v="31.8"/>
        <n v="31.9"/>
        <n v="32"/>
        <n v="32.1"/>
        <n v="32.2"/>
        <n v="32.3"/>
        <n v="32.6"/>
        <n v="32.7"/>
        <n v="32.8"/>
        <n v="32.9"/>
        <n v="33"/>
        <n v="33.1"/>
        <n v="33.2"/>
        <n v="33.3"/>
        <n v="33.4"/>
        <n v="33.5"/>
        <n v="33.7"/>
        <n v="33.8"/>
        <n v="33.9"/>
        <n v="34"/>
        <n v="34.1"/>
        <n v="34.2"/>
        <n v="34.3"/>
        <n v="34.5"/>
        <n v="34.7"/>
        <n v="34.8"/>
        <n v="34.9"/>
        <n v="35"/>
        <n v="35.2"/>
        <n v="35.4"/>
        <n v="35.5"/>
        <n v="35.6"/>
        <n v="35.7"/>
        <n v="35.8"/>
        <n v="35.9"/>
        <n v="36.1"/>
        <n v="36.4"/>
        <n v="36.5"/>
        <n v="36.7"/>
        <n v="36.8"/>
        <n v="36.9"/>
        <n v="37"/>
        <n v="37.1"/>
        <n v="37.2"/>
        <n v="37.3"/>
        <n v="37.5"/>
        <n v="37.8"/>
        <n v="38"/>
        <n v="38.1"/>
        <n v="38.2"/>
        <n v="38.3"/>
        <n v="38.4"/>
        <n v="38.6"/>
        <n v="38.7"/>
        <n v="38.9"/>
        <n v="39"/>
        <n v="39.1"/>
        <n v="39.3"/>
        <n v="39.4"/>
        <n v="39.5"/>
        <n v="39.6"/>
        <n v="39.7"/>
        <n v="39.8"/>
        <n v="40"/>
        <n v="40.1"/>
        <n v="40.4"/>
        <n v="40.6"/>
        <n v="40.7"/>
        <n v="40.9"/>
        <n v="41.1"/>
        <n v="41.4"/>
        <n v="41.5"/>
        <n v="41.6"/>
        <n v="41.9"/>
        <n v="42"/>
        <n v="42.2"/>
        <n v="42.3"/>
        <n v="42.5"/>
        <n v="42.8"/>
        <n v="43.3"/>
        <n v="43.4"/>
        <n v="43.5"/>
        <n v="43.8"/>
        <n v="44.6"/>
        <n v="44.8"/>
        <n v="44.9"/>
        <n v="45"/>
        <n v="45.5"/>
        <n v="45.6"/>
        <n v="45.7"/>
        <n v="45.9"/>
        <n v="46.2"/>
        <n v="46.3"/>
        <n v="46.6"/>
        <n v="46.7"/>
        <n v="47"/>
        <n v="47.1"/>
        <n v="47.2"/>
        <n v="47.8"/>
        <n v="48.8"/>
        <n v="48.9"/>
        <n v="49.3"/>
        <n v="49.6"/>
        <n v="49.7"/>
        <n v="49.9"/>
        <n v="50.3"/>
        <n v="50.9"/>
        <n v="51.3"/>
        <n v="51.9"/>
        <n v="53.1"/>
        <n v="53.7"/>
        <n v="54.6"/>
        <n v="55.3"/>
        <n v="56.2"/>
        <n v="57.9"/>
        <n v="58"/>
        <n v="58.3"/>
        <n v="73.8"/>
      </sharedItems>
    </cacheField>
    <cacheField name="network_issues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outage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plan_change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tenure_group" numFmtId="0">
      <sharedItems count="3">
        <s v="Long-term (25m+)"/>
        <s v="Medium (7-24m)"/>
        <s v="New (1-6m)"/>
      </sharedItems>
    </cacheField>
    <cacheField name="complaint_flag" numFmtId="0">
      <sharedItems containsSemiMixedTypes="0" containsString="0" containsNumber="1" containsInteger="1" minValue="0" maxValue="1" count="2">
        <n v="0"/>
        <n v="1"/>
      </sharedItems>
    </cacheField>
    <cacheField name="late_payment_flag" numFmtId="0">
      <sharedItems containsSemiMixedTypes="0" containsString="0" containsNumber="1" containsInteger="1" minValue="0" maxValue="1" count="2">
        <n v="0"/>
        <n v="1"/>
      </sharedItems>
    </cacheField>
    <cacheField name="low_data_usage_flag" numFmtId="0">
      <sharedItems containsSemiMixedTypes="0" containsString="0" containsNumber="1" containsInteger="1" minValue="0" maxValue="1" count="2">
        <n v="0"/>
        <n v="1"/>
      </sharedItems>
    </cacheField>
    <cacheField name="churn_binary" numFmtId="0">
      <sharedItems containsSemiMixedTypes="0" containsString="0" containsNumber="1" containsInteger="1" minValue="0" maxValue="1" count="2">
        <n v="0"/>
        <n v="1"/>
      </sharedItems>
    </cacheField>
    <cacheField name="predicted_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count="1000">
  <r>
    <x v="0"/>
    <x v="46"/>
    <x v="22"/>
    <x v="0"/>
    <x v="5"/>
    <x v="1"/>
    <x v="41"/>
    <x v="764"/>
    <x v="130"/>
    <x v="115"/>
    <x v="1"/>
    <x v="0"/>
    <x v="4"/>
    <x v="5"/>
    <x v="194"/>
    <x v="2"/>
    <x v="0"/>
    <x v="2"/>
    <x v="1"/>
    <x v="1"/>
    <x v="1"/>
    <x v="0"/>
    <x v="1"/>
    <x v="0"/>
  </r>
  <r>
    <x v="1"/>
    <x v="30"/>
    <x v="60"/>
    <x v="2"/>
    <x v="3"/>
    <x v="0"/>
    <x v="225"/>
    <x v="401"/>
    <x v="202"/>
    <x v="654"/>
    <x v="0"/>
    <x v="1"/>
    <x v="0"/>
    <x v="0"/>
    <x v="87"/>
    <x v="0"/>
    <x v="1"/>
    <x v="0"/>
    <x v="0"/>
    <x v="0"/>
    <x v="0"/>
    <x v="0"/>
    <x v="0"/>
    <x v="0"/>
  </r>
  <r>
    <x v="2"/>
    <x v="9"/>
    <x v="2"/>
    <x v="0"/>
    <x v="0"/>
    <x v="1"/>
    <x v="399"/>
    <x v="238"/>
    <x v="194"/>
    <x v="262"/>
    <x v="0"/>
    <x v="1"/>
    <x v="0"/>
    <x v="1"/>
    <x v="252"/>
    <x v="0"/>
    <x v="1"/>
    <x v="0"/>
    <x v="2"/>
    <x v="0"/>
    <x v="0"/>
    <x v="0"/>
    <x v="1"/>
    <x v="1"/>
  </r>
  <r>
    <x v="3"/>
    <x v="9"/>
    <x v="32"/>
    <x v="0"/>
    <x v="5"/>
    <x v="1"/>
    <x v="251"/>
    <x v="742"/>
    <x v="116"/>
    <x v="271"/>
    <x v="0"/>
    <x v="1"/>
    <x v="2"/>
    <x v="2"/>
    <x v="235"/>
    <x v="2"/>
    <x v="0"/>
    <x v="0"/>
    <x v="0"/>
    <x v="1"/>
    <x v="0"/>
    <x v="0"/>
    <x v="1"/>
    <x v="1"/>
  </r>
  <r>
    <x v="4"/>
    <x v="49"/>
    <x v="57"/>
    <x v="2"/>
    <x v="2"/>
    <x v="0"/>
    <x v="201"/>
    <x v="626"/>
    <x v="0"/>
    <x v="348"/>
    <x v="0"/>
    <x v="1"/>
    <x v="0"/>
    <x v="0"/>
    <x v="317"/>
    <x v="0"/>
    <x v="0"/>
    <x v="0"/>
    <x v="0"/>
    <x v="0"/>
    <x v="0"/>
    <x v="0"/>
    <x v="0"/>
    <x v="0"/>
  </r>
  <r>
    <x v="5"/>
    <x v="25"/>
    <x v="68"/>
    <x v="2"/>
    <x v="0"/>
    <x v="1"/>
    <x v="116"/>
    <x v="496"/>
    <x v="40"/>
    <x v="621"/>
    <x v="0"/>
    <x v="1"/>
    <x v="0"/>
    <x v="1"/>
    <x v="186"/>
    <x v="1"/>
    <x v="0"/>
    <x v="1"/>
    <x v="0"/>
    <x v="0"/>
    <x v="0"/>
    <x v="0"/>
    <x v="1"/>
    <x v="1"/>
  </r>
  <r>
    <x v="6"/>
    <x v="42"/>
    <x v="18"/>
    <x v="1"/>
    <x v="5"/>
    <x v="1"/>
    <x v="437"/>
    <x v="290"/>
    <x v="168"/>
    <x v="738"/>
    <x v="0"/>
    <x v="1"/>
    <x v="0"/>
    <x v="0"/>
    <x v="143"/>
    <x v="0"/>
    <x v="1"/>
    <x v="0"/>
    <x v="1"/>
    <x v="0"/>
    <x v="0"/>
    <x v="0"/>
    <x v="1"/>
    <x v="0"/>
  </r>
  <r>
    <x v="7"/>
    <x v="8"/>
    <x v="46"/>
    <x v="0"/>
    <x v="5"/>
    <x v="1"/>
    <x v="97"/>
    <x v="498"/>
    <x v="9"/>
    <x v="61"/>
    <x v="0"/>
    <x v="1"/>
    <x v="1"/>
    <x v="1"/>
    <x v="274"/>
    <x v="0"/>
    <x v="1"/>
    <x v="0"/>
    <x v="0"/>
    <x v="1"/>
    <x v="0"/>
    <x v="0"/>
    <x v="1"/>
    <x v="0"/>
  </r>
  <r>
    <x v="8"/>
    <x v="25"/>
    <x v="13"/>
    <x v="2"/>
    <x v="2"/>
    <x v="0"/>
    <x v="133"/>
    <x v="396"/>
    <x v="92"/>
    <x v="698"/>
    <x v="0"/>
    <x v="1"/>
    <x v="0"/>
    <x v="0"/>
    <x v="98"/>
    <x v="3"/>
    <x v="0"/>
    <x v="1"/>
    <x v="1"/>
    <x v="0"/>
    <x v="0"/>
    <x v="0"/>
    <x v="0"/>
    <x v="0"/>
  </r>
  <r>
    <x v="9"/>
    <x v="4"/>
    <x v="8"/>
    <x v="2"/>
    <x v="1"/>
    <x v="0"/>
    <x v="308"/>
    <x v="178"/>
    <x v="139"/>
    <x v="400"/>
    <x v="2"/>
    <x v="0"/>
    <x v="2"/>
    <x v="3"/>
    <x v="300"/>
    <x v="0"/>
    <x v="0"/>
    <x v="0"/>
    <x v="1"/>
    <x v="1"/>
    <x v="1"/>
    <x v="0"/>
    <x v="0"/>
    <x v="0"/>
  </r>
  <r>
    <x v="10"/>
    <x v="12"/>
    <x v="25"/>
    <x v="2"/>
    <x v="3"/>
    <x v="1"/>
    <x v="22"/>
    <x v="447"/>
    <x v="217"/>
    <x v="549"/>
    <x v="1"/>
    <x v="0"/>
    <x v="0"/>
    <x v="2"/>
    <x v="300"/>
    <x v="1"/>
    <x v="1"/>
    <x v="0"/>
    <x v="0"/>
    <x v="0"/>
    <x v="1"/>
    <x v="0"/>
    <x v="1"/>
    <x v="1"/>
  </r>
  <r>
    <x v="11"/>
    <x v="6"/>
    <x v="63"/>
    <x v="2"/>
    <x v="0"/>
    <x v="0"/>
    <x v="396"/>
    <x v="490"/>
    <x v="75"/>
    <x v="391"/>
    <x v="1"/>
    <x v="0"/>
    <x v="0"/>
    <x v="1"/>
    <x v="315"/>
    <x v="1"/>
    <x v="1"/>
    <x v="1"/>
    <x v="0"/>
    <x v="0"/>
    <x v="1"/>
    <x v="0"/>
    <x v="0"/>
    <x v="0"/>
  </r>
  <r>
    <x v="12"/>
    <x v="12"/>
    <x v="49"/>
    <x v="2"/>
    <x v="5"/>
    <x v="1"/>
    <x v="315"/>
    <x v="269"/>
    <x v="70"/>
    <x v="466"/>
    <x v="1"/>
    <x v="0"/>
    <x v="0"/>
    <x v="1"/>
    <x v="230"/>
    <x v="0"/>
    <x v="1"/>
    <x v="0"/>
    <x v="0"/>
    <x v="0"/>
    <x v="1"/>
    <x v="0"/>
    <x v="1"/>
    <x v="1"/>
  </r>
  <r>
    <x v="13"/>
    <x v="35"/>
    <x v="35"/>
    <x v="1"/>
    <x v="5"/>
    <x v="0"/>
    <x v="351"/>
    <x v="644"/>
    <x v="111"/>
    <x v="884"/>
    <x v="0"/>
    <x v="1"/>
    <x v="0"/>
    <x v="1"/>
    <x v="134"/>
    <x v="0"/>
    <x v="1"/>
    <x v="1"/>
    <x v="0"/>
    <x v="0"/>
    <x v="0"/>
    <x v="0"/>
    <x v="0"/>
    <x v="0"/>
  </r>
  <r>
    <x v="14"/>
    <x v="0"/>
    <x v="20"/>
    <x v="0"/>
    <x v="3"/>
    <x v="1"/>
    <x v="306"/>
    <x v="718"/>
    <x v="140"/>
    <x v="32"/>
    <x v="1"/>
    <x v="0"/>
    <x v="0"/>
    <x v="1"/>
    <x v="200"/>
    <x v="0"/>
    <x v="0"/>
    <x v="0"/>
    <x v="1"/>
    <x v="0"/>
    <x v="1"/>
    <x v="0"/>
    <x v="1"/>
    <x v="1"/>
  </r>
  <r>
    <x v="15"/>
    <x v="11"/>
    <x v="10"/>
    <x v="0"/>
    <x v="3"/>
    <x v="0"/>
    <x v="207"/>
    <x v="657"/>
    <x v="104"/>
    <x v="31"/>
    <x v="0"/>
    <x v="1"/>
    <x v="0"/>
    <x v="0"/>
    <x v="231"/>
    <x v="0"/>
    <x v="0"/>
    <x v="1"/>
    <x v="1"/>
    <x v="0"/>
    <x v="0"/>
    <x v="0"/>
    <x v="0"/>
    <x v="0"/>
  </r>
  <r>
    <x v="16"/>
    <x v="40"/>
    <x v="19"/>
    <x v="2"/>
    <x v="1"/>
    <x v="0"/>
    <x v="93"/>
    <x v="302"/>
    <x v="188"/>
    <x v="364"/>
    <x v="1"/>
    <x v="0"/>
    <x v="0"/>
    <x v="1"/>
    <x v="126"/>
    <x v="1"/>
    <x v="1"/>
    <x v="0"/>
    <x v="1"/>
    <x v="0"/>
    <x v="1"/>
    <x v="0"/>
    <x v="0"/>
    <x v="0"/>
  </r>
  <r>
    <x v="17"/>
    <x v="8"/>
    <x v="10"/>
    <x v="1"/>
    <x v="2"/>
    <x v="0"/>
    <x v="210"/>
    <x v="617"/>
    <x v="59"/>
    <x v="804"/>
    <x v="1"/>
    <x v="0"/>
    <x v="0"/>
    <x v="0"/>
    <x v="184"/>
    <x v="2"/>
    <x v="1"/>
    <x v="0"/>
    <x v="1"/>
    <x v="0"/>
    <x v="1"/>
    <x v="0"/>
    <x v="0"/>
    <x v="0"/>
  </r>
  <r>
    <x v="18"/>
    <x v="32"/>
    <x v="13"/>
    <x v="0"/>
    <x v="5"/>
    <x v="0"/>
    <x v="104"/>
    <x v="432"/>
    <x v="123"/>
    <x v="72"/>
    <x v="1"/>
    <x v="0"/>
    <x v="1"/>
    <x v="2"/>
    <x v="253"/>
    <x v="2"/>
    <x v="0"/>
    <x v="0"/>
    <x v="1"/>
    <x v="1"/>
    <x v="1"/>
    <x v="0"/>
    <x v="0"/>
    <x v="0"/>
  </r>
  <r>
    <x v="19"/>
    <x v="50"/>
    <x v="49"/>
    <x v="2"/>
    <x v="5"/>
    <x v="0"/>
    <x v="295"/>
    <x v="59"/>
    <x v="146"/>
    <x v="744"/>
    <x v="0"/>
    <x v="1"/>
    <x v="0"/>
    <x v="2"/>
    <x v="86"/>
    <x v="0"/>
    <x v="0"/>
    <x v="0"/>
    <x v="0"/>
    <x v="0"/>
    <x v="0"/>
    <x v="0"/>
    <x v="0"/>
    <x v="0"/>
  </r>
  <r>
    <x v="20"/>
    <x v="45"/>
    <x v="9"/>
    <x v="1"/>
    <x v="5"/>
    <x v="0"/>
    <x v="340"/>
    <x v="383"/>
    <x v="87"/>
    <x v="864"/>
    <x v="2"/>
    <x v="0"/>
    <x v="1"/>
    <x v="1"/>
    <x v="352"/>
    <x v="1"/>
    <x v="1"/>
    <x v="2"/>
    <x v="1"/>
    <x v="1"/>
    <x v="1"/>
    <x v="1"/>
    <x v="0"/>
    <x v="0"/>
  </r>
  <r>
    <x v="21"/>
    <x v="7"/>
    <x v="3"/>
    <x v="2"/>
    <x v="3"/>
    <x v="1"/>
    <x v="413"/>
    <x v="453"/>
    <x v="174"/>
    <x v="332"/>
    <x v="0"/>
    <x v="1"/>
    <x v="0"/>
    <x v="2"/>
    <x v="199"/>
    <x v="1"/>
    <x v="0"/>
    <x v="2"/>
    <x v="2"/>
    <x v="0"/>
    <x v="0"/>
    <x v="0"/>
    <x v="1"/>
    <x v="0"/>
  </r>
  <r>
    <x v="22"/>
    <x v="8"/>
    <x v="39"/>
    <x v="1"/>
    <x v="0"/>
    <x v="1"/>
    <x v="278"/>
    <x v="808"/>
    <x v="125"/>
    <x v="981"/>
    <x v="1"/>
    <x v="0"/>
    <x v="1"/>
    <x v="2"/>
    <x v="69"/>
    <x v="3"/>
    <x v="0"/>
    <x v="2"/>
    <x v="0"/>
    <x v="1"/>
    <x v="1"/>
    <x v="0"/>
    <x v="1"/>
    <x v="1"/>
  </r>
  <r>
    <x v="23"/>
    <x v="40"/>
    <x v="20"/>
    <x v="2"/>
    <x v="0"/>
    <x v="0"/>
    <x v="354"/>
    <x v="740"/>
    <x v="170"/>
    <x v="649"/>
    <x v="0"/>
    <x v="1"/>
    <x v="0"/>
    <x v="0"/>
    <x v="93"/>
    <x v="0"/>
    <x v="1"/>
    <x v="0"/>
    <x v="1"/>
    <x v="0"/>
    <x v="0"/>
    <x v="0"/>
    <x v="0"/>
    <x v="0"/>
  </r>
  <r>
    <x v="24"/>
    <x v="20"/>
    <x v="32"/>
    <x v="2"/>
    <x v="5"/>
    <x v="0"/>
    <x v="186"/>
    <x v="609"/>
    <x v="129"/>
    <x v="351"/>
    <x v="1"/>
    <x v="0"/>
    <x v="2"/>
    <x v="3"/>
    <x v="332"/>
    <x v="2"/>
    <x v="0"/>
    <x v="1"/>
    <x v="0"/>
    <x v="1"/>
    <x v="1"/>
    <x v="0"/>
    <x v="0"/>
    <x v="0"/>
  </r>
  <r>
    <x v="25"/>
    <x v="24"/>
    <x v="10"/>
    <x v="0"/>
    <x v="2"/>
    <x v="0"/>
    <x v="166"/>
    <x v="487"/>
    <x v="141"/>
    <x v="105"/>
    <x v="0"/>
    <x v="1"/>
    <x v="0"/>
    <x v="0"/>
    <x v="349"/>
    <x v="0"/>
    <x v="0"/>
    <x v="0"/>
    <x v="1"/>
    <x v="0"/>
    <x v="0"/>
    <x v="0"/>
    <x v="0"/>
    <x v="0"/>
  </r>
  <r>
    <x v="26"/>
    <x v="27"/>
    <x v="15"/>
    <x v="1"/>
    <x v="1"/>
    <x v="0"/>
    <x v="293"/>
    <x v="459"/>
    <x v="71"/>
    <x v="973"/>
    <x v="0"/>
    <x v="1"/>
    <x v="0"/>
    <x v="0"/>
    <x v="294"/>
    <x v="2"/>
    <x v="0"/>
    <x v="0"/>
    <x v="1"/>
    <x v="0"/>
    <x v="0"/>
    <x v="0"/>
    <x v="0"/>
    <x v="0"/>
  </r>
  <r>
    <x v="27"/>
    <x v="33"/>
    <x v="31"/>
    <x v="2"/>
    <x v="2"/>
    <x v="0"/>
    <x v="176"/>
    <x v="113"/>
    <x v="71"/>
    <x v="605"/>
    <x v="0"/>
    <x v="1"/>
    <x v="1"/>
    <x v="2"/>
    <x v="321"/>
    <x v="1"/>
    <x v="1"/>
    <x v="0"/>
    <x v="0"/>
    <x v="1"/>
    <x v="0"/>
    <x v="0"/>
    <x v="0"/>
    <x v="0"/>
  </r>
  <r>
    <x v="28"/>
    <x v="26"/>
    <x v="49"/>
    <x v="2"/>
    <x v="2"/>
    <x v="0"/>
    <x v="264"/>
    <x v="2"/>
    <x v="201"/>
    <x v="365"/>
    <x v="1"/>
    <x v="0"/>
    <x v="0"/>
    <x v="0"/>
    <x v="311"/>
    <x v="0"/>
    <x v="2"/>
    <x v="0"/>
    <x v="0"/>
    <x v="0"/>
    <x v="1"/>
    <x v="1"/>
    <x v="0"/>
    <x v="0"/>
  </r>
  <r>
    <x v="29"/>
    <x v="1"/>
    <x v="29"/>
    <x v="2"/>
    <x v="5"/>
    <x v="0"/>
    <x v="93"/>
    <x v="133"/>
    <x v="159"/>
    <x v="614"/>
    <x v="0"/>
    <x v="1"/>
    <x v="1"/>
    <x v="1"/>
    <x v="250"/>
    <x v="2"/>
    <x v="3"/>
    <x v="0"/>
    <x v="0"/>
    <x v="1"/>
    <x v="0"/>
    <x v="0"/>
    <x v="0"/>
    <x v="0"/>
  </r>
  <r>
    <x v="30"/>
    <x v="5"/>
    <x v="39"/>
    <x v="2"/>
    <x v="5"/>
    <x v="1"/>
    <x v="115"/>
    <x v="386"/>
    <x v="45"/>
    <x v="309"/>
    <x v="0"/>
    <x v="1"/>
    <x v="0"/>
    <x v="0"/>
    <x v="226"/>
    <x v="1"/>
    <x v="0"/>
    <x v="0"/>
    <x v="0"/>
    <x v="0"/>
    <x v="0"/>
    <x v="0"/>
    <x v="1"/>
    <x v="1"/>
  </r>
  <r>
    <x v="31"/>
    <x v="0"/>
    <x v="37"/>
    <x v="2"/>
    <x v="0"/>
    <x v="0"/>
    <x v="316"/>
    <x v="0"/>
    <x v="128"/>
    <x v="468"/>
    <x v="0"/>
    <x v="1"/>
    <x v="0"/>
    <x v="1"/>
    <x v="248"/>
    <x v="0"/>
    <x v="1"/>
    <x v="1"/>
    <x v="0"/>
    <x v="0"/>
    <x v="0"/>
    <x v="1"/>
    <x v="0"/>
    <x v="0"/>
  </r>
  <r>
    <x v="32"/>
    <x v="15"/>
    <x v="19"/>
    <x v="2"/>
    <x v="3"/>
    <x v="0"/>
    <x v="349"/>
    <x v="216"/>
    <x v="0"/>
    <x v="667"/>
    <x v="0"/>
    <x v="1"/>
    <x v="0"/>
    <x v="0"/>
    <x v="267"/>
    <x v="1"/>
    <x v="1"/>
    <x v="0"/>
    <x v="1"/>
    <x v="0"/>
    <x v="0"/>
    <x v="0"/>
    <x v="0"/>
    <x v="0"/>
  </r>
  <r>
    <x v="33"/>
    <x v="47"/>
    <x v="20"/>
    <x v="1"/>
    <x v="3"/>
    <x v="1"/>
    <x v="102"/>
    <x v="312"/>
    <x v="75"/>
    <x v="905"/>
    <x v="0"/>
    <x v="1"/>
    <x v="1"/>
    <x v="2"/>
    <x v="104"/>
    <x v="0"/>
    <x v="1"/>
    <x v="0"/>
    <x v="1"/>
    <x v="1"/>
    <x v="0"/>
    <x v="0"/>
    <x v="1"/>
    <x v="1"/>
  </r>
  <r>
    <x v="34"/>
    <x v="56"/>
    <x v="30"/>
    <x v="2"/>
    <x v="1"/>
    <x v="1"/>
    <x v="322"/>
    <x v="325"/>
    <x v="182"/>
    <x v="429"/>
    <x v="0"/>
    <x v="1"/>
    <x v="1"/>
    <x v="1"/>
    <x v="267"/>
    <x v="1"/>
    <x v="1"/>
    <x v="0"/>
    <x v="0"/>
    <x v="1"/>
    <x v="0"/>
    <x v="0"/>
    <x v="1"/>
    <x v="1"/>
  </r>
  <r>
    <x v="35"/>
    <x v="27"/>
    <x v="2"/>
    <x v="2"/>
    <x v="2"/>
    <x v="0"/>
    <x v="158"/>
    <x v="180"/>
    <x v="106"/>
    <x v="646"/>
    <x v="0"/>
    <x v="1"/>
    <x v="0"/>
    <x v="2"/>
    <x v="330"/>
    <x v="1"/>
    <x v="2"/>
    <x v="0"/>
    <x v="2"/>
    <x v="0"/>
    <x v="0"/>
    <x v="0"/>
    <x v="0"/>
    <x v="0"/>
  </r>
  <r>
    <x v="36"/>
    <x v="1"/>
    <x v="49"/>
    <x v="0"/>
    <x v="2"/>
    <x v="1"/>
    <x v="230"/>
    <x v="283"/>
    <x v="123"/>
    <x v="199"/>
    <x v="0"/>
    <x v="1"/>
    <x v="0"/>
    <x v="1"/>
    <x v="166"/>
    <x v="0"/>
    <x v="3"/>
    <x v="0"/>
    <x v="0"/>
    <x v="0"/>
    <x v="0"/>
    <x v="0"/>
    <x v="1"/>
    <x v="1"/>
  </r>
  <r>
    <x v="37"/>
    <x v="4"/>
    <x v="44"/>
    <x v="2"/>
    <x v="1"/>
    <x v="0"/>
    <x v="408"/>
    <x v="383"/>
    <x v="0"/>
    <x v="680"/>
    <x v="0"/>
    <x v="1"/>
    <x v="0"/>
    <x v="1"/>
    <x v="153"/>
    <x v="1"/>
    <x v="0"/>
    <x v="0"/>
    <x v="0"/>
    <x v="0"/>
    <x v="0"/>
    <x v="1"/>
    <x v="0"/>
    <x v="0"/>
  </r>
  <r>
    <x v="38"/>
    <x v="47"/>
    <x v="22"/>
    <x v="2"/>
    <x v="3"/>
    <x v="1"/>
    <x v="340"/>
    <x v="596"/>
    <x v="88"/>
    <x v="644"/>
    <x v="0"/>
    <x v="1"/>
    <x v="0"/>
    <x v="1"/>
    <x v="241"/>
    <x v="0"/>
    <x v="2"/>
    <x v="1"/>
    <x v="1"/>
    <x v="0"/>
    <x v="0"/>
    <x v="0"/>
    <x v="1"/>
    <x v="1"/>
  </r>
  <r>
    <x v="39"/>
    <x v="19"/>
    <x v="26"/>
    <x v="0"/>
    <x v="5"/>
    <x v="0"/>
    <x v="338"/>
    <x v="211"/>
    <x v="139"/>
    <x v="146"/>
    <x v="0"/>
    <x v="1"/>
    <x v="1"/>
    <x v="3"/>
    <x v="115"/>
    <x v="1"/>
    <x v="0"/>
    <x v="0"/>
    <x v="0"/>
    <x v="1"/>
    <x v="0"/>
    <x v="0"/>
    <x v="0"/>
    <x v="0"/>
  </r>
  <r>
    <x v="40"/>
    <x v="51"/>
    <x v="23"/>
    <x v="0"/>
    <x v="3"/>
    <x v="0"/>
    <x v="443"/>
    <x v="378"/>
    <x v="148"/>
    <x v="179"/>
    <x v="0"/>
    <x v="1"/>
    <x v="0"/>
    <x v="0"/>
    <x v="184"/>
    <x v="3"/>
    <x v="0"/>
    <x v="1"/>
    <x v="1"/>
    <x v="0"/>
    <x v="0"/>
    <x v="0"/>
    <x v="0"/>
    <x v="0"/>
  </r>
  <r>
    <x v="41"/>
    <x v="29"/>
    <x v="46"/>
    <x v="2"/>
    <x v="5"/>
    <x v="0"/>
    <x v="136"/>
    <x v="395"/>
    <x v="182"/>
    <x v="554"/>
    <x v="0"/>
    <x v="1"/>
    <x v="1"/>
    <x v="1"/>
    <x v="305"/>
    <x v="0"/>
    <x v="2"/>
    <x v="0"/>
    <x v="0"/>
    <x v="1"/>
    <x v="0"/>
    <x v="0"/>
    <x v="0"/>
    <x v="0"/>
  </r>
  <r>
    <x v="42"/>
    <x v="50"/>
    <x v="54"/>
    <x v="2"/>
    <x v="5"/>
    <x v="1"/>
    <x v="102"/>
    <x v="158"/>
    <x v="100"/>
    <x v="534"/>
    <x v="0"/>
    <x v="1"/>
    <x v="1"/>
    <x v="1"/>
    <x v="138"/>
    <x v="2"/>
    <x v="0"/>
    <x v="0"/>
    <x v="0"/>
    <x v="1"/>
    <x v="0"/>
    <x v="0"/>
    <x v="1"/>
    <x v="1"/>
  </r>
  <r>
    <x v="43"/>
    <x v="7"/>
    <x v="7"/>
    <x v="2"/>
    <x v="3"/>
    <x v="0"/>
    <x v="134"/>
    <x v="157"/>
    <x v="103"/>
    <x v="464"/>
    <x v="1"/>
    <x v="0"/>
    <x v="4"/>
    <x v="4"/>
    <x v="189"/>
    <x v="1"/>
    <x v="0"/>
    <x v="0"/>
    <x v="1"/>
    <x v="1"/>
    <x v="1"/>
    <x v="0"/>
    <x v="0"/>
    <x v="0"/>
  </r>
  <r>
    <x v="44"/>
    <x v="49"/>
    <x v="29"/>
    <x v="0"/>
    <x v="5"/>
    <x v="0"/>
    <x v="193"/>
    <x v="664"/>
    <x v="24"/>
    <x v="270"/>
    <x v="1"/>
    <x v="0"/>
    <x v="1"/>
    <x v="2"/>
    <x v="120"/>
    <x v="0"/>
    <x v="1"/>
    <x v="0"/>
    <x v="0"/>
    <x v="1"/>
    <x v="1"/>
    <x v="0"/>
    <x v="0"/>
    <x v="0"/>
  </r>
  <r>
    <x v="45"/>
    <x v="31"/>
    <x v="0"/>
    <x v="0"/>
    <x v="5"/>
    <x v="1"/>
    <x v="2"/>
    <x v="253"/>
    <x v="101"/>
    <x v="73"/>
    <x v="0"/>
    <x v="1"/>
    <x v="1"/>
    <x v="1"/>
    <x v="316"/>
    <x v="2"/>
    <x v="0"/>
    <x v="1"/>
    <x v="2"/>
    <x v="1"/>
    <x v="0"/>
    <x v="0"/>
    <x v="1"/>
    <x v="1"/>
  </r>
  <r>
    <x v="46"/>
    <x v="25"/>
    <x v="32"/>
    <x v="0"/>
    <x v="3"/>
    <x v="0"/>
    <x v="200"/>
    <x v="86"/>
    <x v="29"/>
    <x v="260"/>
    <x v="0"/>
    <x v="1"/>
    <x v="0"/>
    <x v="0"/>
    <x v="280"/>
    <x v="2"/>
    <x v="0"/>
    <x v="1"/>
    <x v="0"/>
    <x v="0"/>
    <x v="0"/>
    <x v="0"/>
    <x v="0"/>
    <x v="0"/>
  </r>
  <r>
    <x v="47"/>
    <x v="30"/>
    <x v="17"/>
    <x v="1"/>
    <x v="3"/>
    <x v="0"/>
    <x v="156"/>
    <x v="389"/>
    <x v="0"/>
    <x v="766"/>
    <x v="0"/>
    <x v="1"/>
    <x v="0"/>
    <x v="0"/>
    <x v="184"/>
    <x v="0"/>
    <x v="1"/>
    <x v="1"/>
    <x v="1"/>
    <x v="0"/>
    <x v="0"/>
    <x v="0"/>
    <x v="0"/>
    <x v="0"/>
  </r>
  <r>
    <x v="48"/>
    <x v="18"/>
    <x v="24"/>
    <x v="1"/>
    <x v="5"/>
    <x v="1"/>
    <x v="337"/>
    <x v="443"/>
    <x v="41"/>
    <x v="897"/>
    <x v="0"/>
    <x v="1"/>
    <x v="1"/>
    <x v="1"/>
    <x v="60"/>
    <x v="3"/>
    <x v="0"/>
    <x v="0"/>
    <x v="0"/>
    <x v="1"/>
    <x v="0"/>
    <x v="0"/>
    <x v="1"/>
    <x v="1"/>
  </r>
  <r>
    <x v="49"/>
    <x v="34"/>
    <x v="32"/>
    <x v="0"/>
    <x v="4"/>
    <x v="1"/>
    <x v="275"/>
    <x v="0"/>
    <x v="220"/>
    <x v="355"/>
    <x v="0"/>
    <x v="1"/>
    <x v="2"/>
    <x v="2"/>
    <x v="149"/>
    <x v="3"/>
    <x v="0"/>
    <x v="1"/>
    <x v="0"/>
    <x v="1"/>
    <x v="0"/>
    <x v="1"/>
    <x v="1"/>
    <x v="1"/>
  </r>
  <r>
    <x v="50"/>
    <x v="44"/>
    <x v="23"/>
    <x v="2"/>
    <x v="2"/>
    <x v="0"/>
    <x v="149"/>
    <x v="391"/>
    <x v="96"/>
    <x v="657"/>
    <x v="0"/>
    <x v="1"/>
    <x v="0"/>
    <x v="0"/>
    <x v="251"/>
    <x v="0"/>
    <x v="1"/>
    <x v="0"/>
    <x v="1"/>
    <x v="0"/>
    <x v="0"/>
    <x v="0"/>
    <x v="0"/>
    <x v="0"/>
  </r>
  <r>
    <x v="51"/>
    <x v="46"/>
    <x v="28"/>
    <x v="0"/>
    <x v="2"/>
    <x v="0"/>
    <x v="309"/>
    <x v="639"/>
    <x v="130"/>
    <x v="2"/>
    <x v="1"/>
    <x v="0"/>
    <x v="0"/>
    <x v="1"/>
    <x v="210"/>
    <x v="1"/>
    <x v="0"/>
    <x v="1"/>
    <x v="0"/>
    <x v="0"/>
    <x v="1"/>
    <x v="0"/>
    <x v="0"/>
    <x v="0"/>
  </r>
  <r>
    <x v="52"/>
    <x v="56"/>
    <x v="55"/>
    <x v="0"/>
    <x v="5"/>
    <x v="1"/>
    <x v="329"/>
    <x v="529"/>
    <x v="79"/>
    <x v="91"/>
    <x v="1"/>
    <x v="0"/>
    <x v="0"/>
    <x v="0"/>
    <x v="200"/>
    <x v="0"/>
    <x v="0"/>
    <x v="0"/>
    <x v="0"/>
    <x v="0"/>
    <x v="1"/>
    <x v="0"/>
    <x v="1"/>
    <x v="1"/>
  </r>
  <r>
    <x v="53"/>
    <x v="23"/>
    <x v="58"/>
    <x v="0"/>
    <x v="5"/>
    <x v="1"/>
    <x v="128"/>
    <x v="802"/>
    <x v="0"/>
    <x v="308"/>
    <x v="0"/>
    <x v="1"/>
    <x v="0"/>
    <x v="0"/>
    <x v="212"/>
    <x v="1"/>
    <x v="0"/>
    <x v="0"/>
    <x v="0"/>
    <x v="0"/>
    <x v="0"/>
    <x v="0"/>
    <x v="1"/>
    <x v="1"/>
  </r>
  <r>
    <x v="54"/>
    <x v="44"/>
    <x v="0"/>
    <x v="0"/>
    <x v="5"/>
    <x v="1"/>
    <x v="164"/>
    <x v="710"/>
    <x v="181"/>
    <x v="240"/>
    <x v="2"/>
    <x v="0"/>
    <x v="1"/>
    <x v="1"/>
    <x v="270"/>
    <x v="3"/>
    <x v="2"/>
    <x v="0"/>
    <x v="2"/>
    <x v="1"/>
    <x v="1"/>
    <x v="0"/>
    <x v="1"/>
    <x v="1"/>
  </r>
  <r>
    <x v="55"/>
    <x v="51"/>
    <x v="27"/>
    <x v="2"/>
    <x v="5"/>
    <x v="0"/>
    <x v="5"/>
    <x v="739"/>
    <x v="0"/>
    <x v="681"/>
    <x v="0"/>
    <x v="1"/>
    <x v="0"/>
    <x v="0"/>
    <x v="183"/>
    <x v="2"/>
    <x v="1"/>
    <x v="0"/>
    <x v="0"/>
    <x v="0"/>
    <x v="0"/>
    <x v="0"/>
    <x v="0"/>
    <x v="0"/>
  </r>
  <r>
    <x v="56"/>
    <x v="1"/>
    <x v="60"/>
    <x v="1"/>
    <x v="1"/>
    <x v="0"/>
    <x v="89"/>
    <x v="810"/>
    <x v="76"/>
    <x v="743"/>
    <x v="0"/>
    <x v="1"/>
    <x v="0"/>
    <x v="0"/>
    <x v="239"/>
    <x v="0"/>
    <x v="1"/>
    <x v="0"/>
    <x v="0"/>
    <x v="0"/>
    <x v="0"/>
    <x v="0"/>
    <x v="0"/>
    <x v="0"/>
  </r>
  <r>
    <x v="57"/>
    <x v="27"/>
    <x v="38"/>
    <x v="0"/>
    <x v="1"/>
    <x v="1"/>
    <x v="131"/>
    <x v="618"/>
    <x v="111"/>
    <x v="228"/>
    <x v="0"/>
    <x v="1"/>
    <x v="1"/>
    <x v="3"/>
    <x v="77"/>
    <x v="0"/>
    <x v="0"/>
    <x v="0"/>
    <x v="0"/>
    <x v="1"/>
    <x v="0"/>
    <x v="0"/>
    <x v="1"/>
    <x v="1"/>
  </r>
  <r>
    <x v="58"/>
    <x v="40"/>
    <x v="14"/>
    <x v="2"/>
    <x v="2"/>
    <x v="0"/>
    <x v="239"/>
    <x v="458"/>
    <x v="131"/>
    <x v="538"/>
    <x v="0"/>
    <x v="1"/>
    <x v="0"/>
    <x v="0"/>
    <x v="370"/>
    <x v="1"/>
    <x v="3"/>
    <x v="0"/>
    <x v="1"/>
    <x v="0"/>
    <x v="0"/>
    <x v="0"/>
    <x v="0"/>
    <x v="0"/>
  </r>
  <r>
    <x v="59"/>
    <x v="26"/>
    <x v="42"/>
    <x v="2"/>
    <x v="2"/>
    <x v="0"/>
    <x v="108"/>
    <x v="659"/>
    <x v="64"/>
    <x v="716"/>
    <x v="0"/>
    <x v="1"/>
    <x v="0"/>
    <x v="1"/>
    <x v="157"/>
    <x v="1"/>
    <x v="2"/>
    <x v="0"/>
    <x v="0"/>
    <x v="0"/>
    <x v="0"/>
    <x v="0"/>
    <x v="0"/>
    <x v="0"/>
  </r>
  <r>
    <x v="60"/>
    <x v="5"/>
    <x v="10"/>
    <x v="1"/>
    <x v="5"/>
    <x v="0"/>
    <x v="161"/>
    <x v="212"/>
    <x v="0"/>
    <x v="931"/>
    <x v="0"/>
    <x v="1"/>
    <x v="0"/>
    <x v="0"/>
    <x v="211"/>
    <x v="0"/>
    <x v="0"/>
    <x v="0"/>
    <x v="1"/>
    <x v="0"/>
    <x v="0"/>
    <x v="0"/>
    <x v="0"/>
    <x v="0"/>
  </r>
  <r>
    <x v="61"/>
    <x v="38"/>
    <x v="1"/>
    <x v="2"/>
    <x v="1"/>
    <x v="0"/>
    <x v="73"/>
    <x v="439"/>
    <x v="59"/>
    <x v="591"/>
    <x v="1"/>
    <x v="0"/>
    <x v="1"/>
    <x v="1"/>
    <x v="251"/>
    <x v="1"/>
    <x v="1"/>
    <x v="2"/>
    <x v="2"/>
    <x v="1"/>
    <x v="1"/>
    <x v="0"/>
    <x v="0"/>
    <x v="0"/>
  </r>
  <r>
    <x v="62"/>
    <x v="23"/>
    <x v="45"/>
    <x v="0"/>
    <x v="1"/>
    <x v="0"/>
    <x v="253"/>
    <x v="184"/>
    <x v="63"/>
    <x v="280"/>
    <x v="0"/>
    <x v="1"/>
    <x v="1"/>
    <x v="1"/>
    <x v="143"/>
    <x v="1"/>
    <x v="1"/>
    <x v="0"/>
    <x v="0"/>
    <x v="1"/>
    <x v="0"/>
    <x v="0"/>
    <x v="0"/>
    <x v="0"/>
  </r>
  <r>
    <x v="63"/>
    <x v="35"/>
    <x v="37"/>
    <x v="2"/>
    <x v="5"/>
    <x v="1"/>
    <x v="286"/>
    <x v="515"/>
    <x v="61"/>
    <x v="384"/>
    <x v="0"/>
    <x v="1"/>
    <x v="0"/>
    <x v="0"/>
    <x v="184"/>
    <x v="2"/>
    <x v="0"/>
    <x v="0"/>
    <x v="0"/>
    <x v="0"/>
    <x v="0"/>
    <x v="0"/>
    <x v="1"/>
    <x v="1"/>
  </r>
  <r>
    <x v="64"/>
    <x v="0"/>
    <x v="54"/>
    <x v="0"/>
    <x v="5"/>
    <x v="0"/>
    <x v="282"/>
    <x v="183"/>
    <x v="183"/>
    <x v="85"/>
    <x v="1"/>
    <x v="0"/>
    <x v="0"/>
    <x v="4"/>
    <x v="186"/>
    <x v="0"/>
    <x v="0"/>
    <x v="0"/>
    <x v="0"/>
    <x v="0"/>
    <x v="1"/>
    <x v="0"/>
    <x v="0"/>
    <x v="0"/>
  </r>
  <r>
    <x v="65"/>
    <x v="0"/>
    <x v="24"/>
    <x v="1"/>
    <x v="1"/>
    <x v="1"/>
    <x v="230"/>
    <x v="176"/>
    <x v="32"/>
    <x v="853"/>
    <x v="0"/>
    <x v="1"/>
    <x v="0"/>
    <x v="0"/>
    <x v="83"/>
    <x v="0"/>
    <x v="1"/>
    <x v="0"/>
    <x v="0"/>
    <x v="0"/>
    <x v="0"/>
    <x v="0"/>
    <x v="1"/>
    <x v="1"/>
  </r>
  <r>
    <x v="66"/>
    <x v="34"/>
    <x v="61"/>
    <x v="2"/>
    <x v="1"/>
    <x v="0"/>
    <x v="45"/>
    <x v="519"/>
    <x v="136"/>
    <x v="420"/>
    <x v="1"/>
    <x v="0"/>
    <x v="1"/>
    <x v="2"/>
    <x v="238"/>
    <x v="1"/>
    <x v="1"/>
    <x v="0"/>
    <x v="0"/>
    <x v="1"/>
    <x v="1"/>
    <x v="0"/>
    <x v="0"/>
    <x v="0"/>
  </r>
  <r>
    <x v="67"/>
    <x v="56"/>
    <x v="30"/>
    <x v="2"/>
    <x v="3"/>
    <x v="0"/>
    <x v="146"/>
    <x v="383"/>
    <x v="126"/>
    <x v="662"/>
    <x v="1"/>
    <x v="0"/>
    <x v="1"/>
    <x v="2"/>
    <x v="18"/>
    <x v="1"/>
    <x v="0"/>
    <x v="0"/>
    <x v="0"/>
    <x v="1"/>
    <x v="1"/>
    <x v="1"/>
    <x v="0"/>
    <x v="0"/>
  </r>
  <r>
    <x v="68"/>
    <x v="37"/>
    <x v="53"/>
    <x v="0"/>
    <x v="2"/>
    <x v="0"/>
    <x v="173"/>
    <x v="0"/>
    <x v="182"/>
    <x v="186"/>
    <x v="0"/>
    <x v="1"/>
    <x v="0"/>
    <x v="0"/>
    <x v="345"/>
    <x v="2"/>
    <x v="1"/>
    <x v="0"/>
    <x v="0"/>
    <x v="0"/>
    <x v="0"/>
    <x v="1"/>
    <x v="0"/>
    <x v="0"/>
  </r>
  <r>
    <x v="69"/>
    <x v="54"/>
    <x v="7"/>
    <x v="2"/>
    <x v="3"/>
    <x v="0"/>
    <x v="174"/>
    <x v="24"/>
    <x v="106"/>
    <x v="457"/>
    <x v="1"/>
    <x v="0"/>
    <x v="0"/>
    <x v="0"/>
    <x v="274"/>
    <x v="1"/>
    <x v="1"/>
    <x v="1"/>
    <x v="1"/>
    <x v="0"/>
    <x v="1"/>
    <x v="1"/>
    <x v="0"/>
    <x v="0"/>
  </r>
  <r>
    <x v="70"/>
    <x v="49"/>
    <x v="6"/>
    <x v="1"/>
    <x v="3"/>
    <x v="1"/>
    <x v="239"/>
    <x v="75"/>
    <x v="170"/>
    <x v="934"/>
    <x v="1"/>
    <x v="0"/>
    <x v="0"/>
    <x v="0"/>
    <x v="258"/>
    <x v="1"/>
    <x v="0"/>
    <x v="2"/>
    <x v="1"/>
    <x v="0"/>
    <x v="1"/>
    <x v="0"/>
    <x v="1"/>
    <x v="1"/>
  </r>
  <r>
    <x v="71"/>
    <x v="16"/>
    <x v="56"/>
    <x v="2"/>
    <x v="3"/>
    <x v="0"/>
    <x v="409"/>
    <x v="383"/>
    <x v="103"/>
    <x v="505"/>
    <x v="1"/>
    <x v="0"/>
    <x v="0"/>
    <x v="0"/>
    <x v="11"/>
    <x v="1"/>
    <x v="1"/>
    <x v="1"/>
    <x v="0"/>
    <x v="0"/>
    <x v="1"/>
    <x v="1"/>
    <x v="0"/>
    <x v="0"/>
  </r>
  <r>
    <x v="72"/>
    <x v="5"/>
    <x v="60"/>
    <x v="2"/>
    <x v="0"/>
    <x v="0"/>
    <x v="341"/>
    <x v="520"/>
    <x v="145"/>
    <x v="517"/>
    <x v="2"/>
    <x v="0"/>
    <x v="0"/>
    <x v="0"/>
    <x v="184"/>
    <x v="0"/>
    <x v="0"/>
    <x v="0"/>
    <x v="0"/>
    <x v="0"/>
    <x v="1"/>
    <x v="0"/>
    <x v="0"/>
    <x v="0"/>
  </r>
  <r>
    <x v="73"/>
    <x v="32"/>
    <x v="67"/>
    <x v="1"/>
    <x v="3"/>
    <x v="1"/>
    <x v="102"/>
    <x v="481"/>
    <x v="13"/>
    <x v="689"/>
    <x v="0"/>
    <x v="1"/>
    <x v="1"/>
    <x v="1"/>
    <x v="326"/>
    <x v="0"/>
    <x v="0"/>
    <x v="0"/>
    <x v="0"/>
    <x v="1"/>
    <x v="0"/>
    <x v="0"/>
    <x v="1"/>
    <x v="1"/>
  </r>
  <r>
    <x v="74"/>
    <x v="35"/>
    <x v="23"/>
    <x v="1"/>
    <x v="2"/>
    <x v="0"/>
    <x v="323"/>
    <x v="675"/>
    <x v="0"/>
    <x v="754"/>
    <x v="0"/>
    <x v="1"/>
    <x v="1"/>
    <x v="1"/>
    <x v="376"/>
    <x v="2"/>
    <x v="2"/>
    <x v="1"/>
    <x v="1"/>
    <x v="1"/>
    <x v="0"/>
    <x v="0"/>
    <x v="0"/>
    <x v="0"/>
  </r>
  <r>
    <x v="75"/>
    <x v="44"/>
    <x v="1"/>
    <x v="0"/>
    <x v="3"/>
    <x v="0"/>
    <x v="317"/>
    <x v="616"/>
    <x v="141"/>
    <x v="339"/>
    <x v="0"/>
    <x v="1"/>
    <x v="0"/>
    <x v="0"/>
    <x v="309"/>
    <x v="0"/>
    <x v="1"/>
    <x v="0"/>
    <x v="2"/>
    <x v="0"/>
    <x v="0"/>
    <x v="0"/>
    <x v="0"/>
    <x v="0"/>
  </r>
  <r>
    <x v="76"/>
    <x v="30"/>
    <x v="70"/>
    <x v="2"/>
    <x v="3"/>
    <x v="1"/>
    <x v="125"/>
    <x v="676"/>
    <x v="145"/>
    <x v="455"/>
    <x v="0"/>
    <x v="1"/>
    <x v="0"/>
    <x v="0"/>
    <x v="184"/>
    <x v="2"/>
    <x v="1"/>
    <x v="0"/>
    <x v="0"/>
    <x v="0"/>
    <x v="0"/>
    <x v="0"/>
    <x v="1"/>
    <x v="1"/>
  </r>
  <r>
    <x v="77"/>
    <x v="53"/>
    <x v="43"/>
    <x v="2"/>
    <x v="5"/>
    <x v="0"/>
    <x v="345"/>
    <x v="580"/>
    <x v="148"/>
    <x v="347"/>
    <x v="0"/>
    <x v="1"/>
    <x v="2"/>
    <x v="2"/>
    <x v="246"/>
    <x v="0"/>
    <x v="3"/>
    <x v="0"/>
    <x v="0"/>
    <x v="1"/>
    <x v="0"/>
    <x v="0"/>
    <x v="0"/>
    <x v="0"/>
  </r>
  <r>
    <x v="78"/>
    <x v="48"/>
    <x v="17"/>
    <x v="2"/>
    <x v="1"/>
    <x v="0"/>
    <x v="207"/>
    <x v="478"/>
    <x v="78"/>
    <x v="393"/>
    <x v="0"/>
    <x v="1"/>
    <x v="1"/>
    <x v="1"/>
    <x v="91"/>
    <x v="3"/>
    <x v="0"/>
    <x v="0"/>
    <x v="1"/>
    <x v="1"/>
    <x v="0"/>
    <x v="0"/>
    <x v="0"/>
    <x v="0"/>
  </r>
  <r>
    <x v="79"/>
    <x v="33"/>
    <x v="54"/>
    <x v="0"/>
    <x v="5"/>
    <x v="0"/>
    <x v="57"/>
    <x v="684"/>
    <x v="218"/>
    <x v="252"/>
    <x v="0"/>
    <x v="1"/>
    <x v="2"/>
    <x v="2"/>
    <x v="293"/>
    <x v="2"/>
    <x v="0"/>
    <x v="1"/>
    <x v="0"/>
    <x v="1"/>
    <x v="0"/>
    <x v="0"/>
    <x v="0"/>
    <x v="0"/>
  </r>
  <r>
    <x v="80"/>
    <x v="31"/>
    <x v="65"/>
    <x v="0"/>
    <x v="5"/>
    <x v="0"/>
    <x v="290"/>
    <x v="649"/>
    <x v="83"/>
    <x v="154"/>
    <x v="0"/>
    <x v="1"/>
    <x v="0"/>
    <x v="0"/>
    <x v="68"/>
    <x v="0"/>
    <x v="1"/>
    <x v="0"/>
    <x v="0"/>
    <x v="0"/>
    <x v="0"/>
    <x v="0"/>
    <x v="0"/>
    <x v="0"/>
  </r>
  <r>
    <x v="81"/>
    <x v="1"/>
    <x v="20"/>
    <x v="1"/>
    <x v="3"/>
    <x v="0"/>
    <x v="259"/>
    <x v="508"/>
    <x v="144"/>
    <x v="882"/>
    <x v="1"/>
    <x v="0"/>
    <x v="0"/>
    <x v="1"/>
    <x v="58"/>
    <x v="1"/>
    <x v="0"/>
    <x v="0"/>
    <x v="1"/>
    <x v="0"/>
    <x v="1"/>
    <x v="0"/>
    <x v="0"/>
    <x v="1"/>
  </r>
  <r>
    <x v="82"/>
    <x v="45"/>
    <x v="55"/>
    <x v="1"/>
    <x v="5"/>
    <x v="1"/>
    <x v="197"/>
    <x v="715"/>
    <x v="157"/>
    <x v="790"/>
    <x v="0"/>
    <x v="1"/>
    <x v="0"/>
    <x v="0"/>
    <x v="51"/>
    <x v="1"/>
    <x v="0"/>
    <x v="0"/>
    <x v="0"/>
    <x v="0"/>
    <x v="0"/>
    <x v="0"/>
    <x v="1"/>
    <x v="1"/>
  </r>
  <r>
    <x v="83"/>
    <x v="39"/>
    <x v="56"/>
    <x v="1"/>
    <x v="2"/>
    <x v="1"/>
    <x v="224"/>
    <x v="0"/>
    <x v="230"/>
    <x v="963"/>
    <x v="2"/>
    <x v="0"/>
    <x v="1"/>
    <x v="1"/>
    <x v="291"/>
    <x v="1"/>
    <x v="1"/>
    <x v="1"/>
    <x v="0"/>
    <x v="1"/>
    <x v="1"/>
    <x v="1"/>
    <x v="1"/>
    <x v="1"/>
  </r>
  <r>
    <x v="84"/>
    <x v="51"/>
    <x v="36"/>
    <x v="1"/>
    <x v="2"/>
    <x v="1"/>
    <x v="134"/>
    <x v="298"/>
    <x v="93"/>
    <x v="945"/>
    <x v="0"/>
    <x v="1"/>
    <x v="0"/>
    <x v="1"/>
    <x v="181"/>
    <x v="0"/>
    <x v="1"/>
    <x v="0"/>
    <x v="0"/>
    <x v="0"/>
    <x v="0"/>
    <x v="0"/>
    <x v="1"/>
    <x v="1"/>
  </r>
  <r>
    <x v="85"/>
    <x v="5"/>
    <x v="45"/>
    <x v="2"/>
    <x v="2"/>
    <x v="0"/>
    <x v="313"/>
    <x v="294"/>
    <x v="69"/>
    <x v="474"/>
    <x v="0"/>
    <x v="1"/>
    <x v="0"/>
    <x v="0"/>
    <x v="199"/>
    <x v="2"/>
    <x v="0"/>
    <x v="0"/>
    <x v="0"/>
    <x v="0"/>
    <x v="0"/>
    <x v="0"/>
    <x v="0"/>
    <x v="0"/>
  </r>
  <r>
    <x v="86"/>
    <x v="8"/>
    <x v="19"/>
    <x v="1"/>
    <x v="5"/>
    <x v="0"/>
    <x v="223"/>
    <x v="691"/>
    <x v="13"/>
    <x v="974"/>
    <x v="2"/>
    <x v="0"/>
    <x v="1"/>
    <x v="1"/>
    <x v="185"/>
    <x v="1"/>
    <x v="0"/>
    <x v="2"/>
    <x v="1"/>
    <x v="1"/>
    <x v="1"/>
    <x v="0"/>
    <x v="0"/>
    <x v="0"/>
  </r>
  <r>
    <x v="87"/>
    <x v="38"/>
    <x v="66"/>
    <x v="1"/>
    <x v="1"/>
    <x v="0"/>
    <x v="252"/>
    <x v="759"/>
    <x v="222"/>
    <x v="725"/>
    <x v="1"/>
    <x v="0"/>
    <x v="1"/>
    <x v="1"/>
    <x v="65"/>
    <x v="0"/>
    <x v="1"/>
    <x v="0"/>
    <x v="0"/>
    <x v="1"/>
    <x v="1"/>
    <x v="0"/>
    <x v="0"/>
    <x v="0"/>
  </r>
  <r>
    <x v="88"/>
    <x v="28"/>
    <x v="70"/>
    <x v="2"/>
    <x v="2"/>
    <x v="0"/>
    <x v="276"/>
    <x v="26"/>
    <x v="144"/>
    <x v="597"/>
    <x v="0"/>
    <x v="1"/>
    <x v="0"/>
    <x v="0"/>
    <x v="184"/>
    <x v="2"/>
    <x v="1"/>
    <x v="0"/>
    <x v="0"/>
    <x v="0"/>
    <x v="0"/>
    <x v="1"/>
    <x v="0"/>
    <x v="0"/>
  </r>
  <r>
    <x v="89"/>
    <x v="34"/>
    <x v="70"/>
    <x v="2"/>
    <x v="1"/>
    <x v="0"/>
    <x v="81"/>
    <x v="734"/>
    <x v="147"/>
    <x v="363"/>
    <x v="2"/>
    <x v="0"/>
    <x v="0"/>
    <x v="0"/>
    <x v="184"/>
    <x v="2"/>
    <x v="1"/>
    <x v="2"/>
    <x v="0"/>
    <x v="0"/>
    <x v="1"/>
    <x v="0"/>
    <x v="0"/>
    <x v="0"/>
  </r>
  <r>
    <x v="90"/>
    <x v="25"/>
    <x v="53"/>
    <x v="0"/>
    <x v="2"/>
    <x v="1"/>
    <x v="113"/>
    <x v="70"/>
    <x v="255"/>
    <x v="55"/>
    <x v="0"/>
    <x v="1"/>
    <x v="0"/>
    <x v="0"/>
    <x v="36"/>
    <x v="1"/>
    <x v="1"/>
    <x v="1"/>
    <x v="0"/>
    <x v="0"/>
    <x v="0"/>
    <x v="0"/>
    <x v="1"/>
    <x v="1"/>
  </r>
  <r>
    <x v="91"/>
    <x v="37"/>
    <x v="3"/>
    <x v="2"/>
    <x v="5"/>
    <x v="1"/>
    <x v="6"/>
    <x v="78"/>
    <x v="138"/>
    <x v="451"/>
    <x v="0"/>
    <x v="1"/>
    <x v="0"/>
    <x v="0"/>
    <x v="131"/>
    <x v="1"/>
    <x v="0"/>
    <x v="0"/>
    <x v="2"/>
    <x v="0"/>
    <x v="0"/>
    <x v="0"/>
    <x v="1"/>
    <x v="0"/>
  </r>
  <r>
    <x v="92"/>
    <x v="38"/>
    <x v="26"/>
    <x v="0"/>
    <x v="3"/>
    <x v="1"/>
    <x v="307"/>
    <x v="318"/>
    <x v="26"/>
    <x v="247"/>
    <x v="1"/>
    <x v="0"/>
    <x v="0"/>
    <x v="0"/>
    <x v="184"/>
    <x v="1"/>
    <x v="0"/>
    <x v="0"/>
    <x v="0"/>
    <x v="0"/>
    <x v="1"/>
    <x v="0"/>
    <x v="1"/>
    <x v="1"/>
  </r>
  <r>
    <x v="93"/>
    <x v="10"/>
    <x v="32"/>
    <x v="0"/>
    <x v="3"/>
    <x v="0"/>
    <x v="74"/>
    <x v="291"/>
    <x v="101"/>
    <x v="249"/>
    <x v="1"/>
    <x v="0"/>
    <x v="0"/>
    <x v="0"/>
    <x v="252"/>
    <x v="1"/>
    <x v="0"/>
    <x v="0"/>
    <x v="0"/>
    <x v="0"/>
    <x v="1"/>
    <x v="0"/>
    <x v="0"/>
    <x v="0"/>
  </r>
  <r>
    <x v="94"/>
    <x v="44"/>
    <x v="69"/>
    <x v="2"/>
    <x v="3"/>
    <x v="1"/>
    <x v="247"/>
    <x v="17"/>
    <x v="49"/>
    <x v="541"/>
    <x v="0"/>
    <x v="1"/>
    <x v="0"/>
    <x v="0"/>
    <x v="260"/>
    <x v="1"/>
    <x v="0"/>
    <x v="0"/>
    <x v="0"/>
    <x v="0"/>
    <x v="0"/>
    <x v="1"/>
    <x v="1"/>
    <x v="1"/>
  </r>
  <r>
    <x v="95"/>
    <x v="28"/>
    <x v="39"/>
    <x v="2"/>
    <x v="5"/>
    <x v="0"/>
    <x v="278"/>
    <x v="593"/>
    <x v="87"/>
    <x v="574"/>
    <x v="1"/>
    <x v="0"/>
    <x v="1"/>
    <x v="2"/>
    <x v="49"/>
    <x v="2"/>
    <x v="1"/>
    <x v="0"/>
    <x v="0"/>
    <x v="1"/>
    <x v="1"/>
    <x v="0"/>
    <x v="0"/>
    <x v="0"/>
  </r>
  <r>
    <x v="96"/>
    <x v="33"/>
    <x v="38"/>
    <x v="0"/>
    <x v="3"/>
    <x v="1"/>
    <x v="311"/>
    <x v="602"/>
    <x v="87"/>
    <x v="126"/>
    <x v="2"/>
    <x v="0"/>
    <x v="0"/>
    <x v="0"/>
    <x v="155"/>
    <x v="2"/>
    <x v="1"/>
    <x v="2"/>
    <x v="0"/>
    <x v="0"/>
    <x v="1"/>
    <x v="0"/>
    <x v="1"/>
    <x v="1"/>
  </r>
  <r>
    <x v="97"/>
    <x v="35"/>
    <x v="10"/>
    <x v="1"/>
    <x v="2"/>
    <x v="0"/>
    <x v="75"/>
    <x v="671"/>
    <x v="74"/>
    <x v="767"/>
    <x v="0"/>
    <x v="1"/>
    <x v="0"/>
    <x v="0"/>
    <x v="351"/>
    <x v="1"/>
    <x v="1"/>
    <x v="0"/>
    <x v="1"/>
    <x v="0"/>
    <x v="0"/>
    <x v="0"/>
    <x v="0"/>
    <x v="0"/>
  </r>
  <r>
    <x v="98"/>
    <x v="43"/>
    <x v="57"/>
    <x v="1"/>
    <x v="2"/>
    <x v="1"/>
    <x v="220"/>
    <x v="249"/>
    <x v="20"/>
    <x v="918"/>
    <x v="1"/>
    <x v="0"/>
    <x v="4"/>
    <x v="4"/>
    <x v="77"/>
    <x v="1"/>
    <x v="0"/>
    <x v="1"/>
    <x v="0"/>
    <x v="1"/>
    <x v="1"/>
    <x v="0"/>
    <x v="1"/>
    <x v="1"/>
  </r>
  <r>
    <x v="99"/>
    <x v="17"/>
    <x v="24"/>
    <x v="0"/>
    <x v="0"/>
    <x v="0"/>
    <x v="430"/>
    <x v="383"/>
    <x v="224"/>
    <x v="98"/>
    <x v="0"/>
    <x v="1"/>
    <x v="1"/>
    <x v="2"/>
    <x v="236"/>
    <x v="1"/>
    <x v="0"/>
    <x v="1"/>
    <x v="0"/>
    <x v="1"/>
    <x v="0"/>
    <x v="1"/>
    <x v="0"/>
    <x v="0"/>
  </r>
  <r>
    <x v="100"/>
    <x v="0"/>
    <x v="6"/>
    <x v="0"/>
    <x v="0"/>
    <x v="1"/>
    <x v="433"/>
    <x v="394"/>
    <x v="136"/>
    <x v="127"/>
    <x v="0"/>
    <x v="1"/>
    <x v="1"/>
    <x v="1"/>
    <x v="200"/>
    <x v="1"/>
    <x v="1"/>
    <x v="0"/>
    <x v="1"/>
    <x v="1"/>
    <x v="0"/>
    <x v="0"/>
    <x v="1"/>
    <x v="0"/>
  </r>
  <r>
    <x v="101"/>
    <x v="10"/>
    <x v="71"/>
    <x v="0"/>
    <x v="5"/>
    <x v="0"/>
    <x v="363"/>
    <x v="771"/>
    <x v="99"/>
    <x v="347"/>
    <x v="0"/>
    <x v="1"/>
    <x v="0"/>
    <x v="1"/>
    <x v="301"/>
    <x v="1"/>
    <x v="1"/>
    <x v="1"/>
    <x v="0"/>
    <x v="0"/>
    <x v="0"/>
    <x v="0"/>
    <x v="0"/>
    <x v="0"/>
  </r>
  <r>
    <x v="102"/>
    <x v="56"/>
    <x v="13"/>
    <x v="1"/>
    <x v="3"/>
    <x v="1"/>
    <x v="273"/>
    <x v="0"/>
    <x v="168"/>
    <x v="878"/>
    <x v="0"/>
    <x v="1"/>
    <x v="3"/>
    <x v="4"/>
    <x v="222"/>
    <x v="0"/>
    <x v="2"/>
    <x v="0"/>
    <x v="1"/>
    <x v="1"/>
    <x v="0"/>
    <x v="1"/>
    <x v="1"/>
    <x v="1"/>
  </r>
  <r>
    <x v="103"/>
    <x v="12"/>
    <x v="1"/>
    <x v="1"/>
    <x v="0"/>
    <x v="1"/>
    <x v="99"/>
    <x v="121"/>
    <x v="148"/>
    <x v="780"/>
    <x v="0"/>
    <x v="1"/>
    <x v="0"/>
    <x v="0"/>
    <x v="140"/>
    <x v="0"/>
    <x v="1"/>
    <x v="0"/>
    <x v="2"/>
    <x v="0"/>
    <x v="0"/>
    <x v="0"/>
    <x v="1"/>
    <x v="1"/>
  </r>
  <r>
    <x v="104"/>
    <x v="14"/>
    <x v="5"/>
    <x v="0"/>
    <x v="5"/>
    <x v="0"/>
    <x v="329"/>
    <x v="405"/>
    <x v="134"/>
    <x v="15"/>
    <x v="0"/>
    <x v="1"/>
    <x v="0"/>
    <x v="0"/>
    <x v="195"/>
    <x v="1"/>
    <x v="1"/>
    <x v="2"/>
    <x v="2"/>
    <x v="0"/>
    <x v="0"/>
    <x v="0"/>
    <x v="0"/>
    <x v="0"/>
  </r>
  <r>
    <x v="105"/>
    <x v="49"/>
    <x v="32"/>
    <x v="1"/>
    <x v="5"/>
    <x v="0"/>
    <x v="207"/>
    <x v="91"/>
    <x v="163"/>
    <x v="794"/>
    <x v="0"/>
    <x v="1"/>
    <x v="0"/>
    <x v="0"/>
    <x v="197"/>
    <x v="1"/>
    <x v="1"/>
    <x v="0"/>
    <x v="0"/>
    <x v="0"/>
    <x v="0"/>
    <x v="0"/>
    <x v="0"/>
    <x v="0"/>
  </r>
  <r>
    <x v="106"/>
    <x v="13"/>
    <x v="7"/>
    <x v="0"/>
    <x v="3"/>
    <x v="0"/>
    <x v="306"/>
    <x v="308"/>
    <x v="124"/>
    <x v="104"/>
    <x v="0"/>
    <x v="1"/>
    <x v="0"/>
    <x v="2"/>
    <x v="177"/>
    <x v="2"/>
    <x v="0"/>
    <x v="0"/>
    <x v="1"/>
    <x v="0"/>
    <x v="0"/>
    <x v="0"/>
    <x v="0"/>
    <x v="0"/>
  </r>
  <r>
    <x v="107"/>
    <x v="26"/>
    <x v="60"/>
    <x v="2"/>
    <x v="3"/>
    <x v="0"/>
    <x v="144"/>
    <x v="357"/>
    <x v="162"/>
    <x v="342"/>
    <x v="0"/>
    <x v="1"/>
    <x v="0"/>
    <x v="1"/>
    <x v="46"/>
    <x v="0"/>
    <x v="1"/>
    <x v="0"/>
    <x v="0"/>
    <x v="0"/>
    <x v="0"/>
    <x v="0"/>
    <x v="0"/>
    <x v="0"/>
  </r>
  <r>
    <x v="108"/>
    <x v="21"/>
    <x v="36"/>
    <x v="1"/>
    <x v="2"/>
    <x v="0"/>
    <x v="205"/>
    <x v="181"/>
    <x v="168"/>
    <x v="972"/>
    <x v="1"/>
    <x v="0"/>
    <x v="1"/>
    <x v="2"/>
    <x v="313"/>
    <x v="0"/>
    <x v="0"/>
    <x v="0"/>
    <x v="0"/>
    <x v="1"/>
    <x v="1"/>
    <x v="0"/>
    <x v="0"/>
    <x v="0"/>
  </r>
  <r>
    <x v="109"/>
    <x v="38"/>
    <x v="23"/>
    <x v="0"/>
    <x v="0"/>
    <x v="0"/>
    <x v="252"/>
    <x v="426"/>
    <x v="126"/>
    <x v="114"/>
    <x v="0"/>
    <x v="1"/>
    <x v="2"/>
    <x v="2"/>
    <x v="298"/>
    <x v="0"/>
    <x v="0"/>
    <x v="0"/>
    <x v="1"/>
    <x v="1"/>
    <x v="0"/>
    <x v="0"/>
    <x v="0"/>
    <x v="0"/>
  </r>
  <r>
    <x v="110"/>
    <x v="34"/>
    <x v="0"/>
    <x v="0"/>
    <x v="1"/>
    <x v="1"/>
    <x v="263"/>
    <x v="588"/>
    <x v="100"/>
    <x v="4"/>
    <x v="2"/>
    <x v="0"/>
    <x v="0"/>
    <x v="0"/>
    <x v="184"/>
    <x v="1"/>
    <x v="1"/>
    <x v="0"/>
    <x v="2"/>
    <x v="0"/>
    <x v="1"/>
    <x v="0"/>
    <x v="1"/>
    <x v="1"/>
  </r>
  <r>
    <x v="111"/>
    <x v="29"/>
    <x v="34"/>
    <x v="2"/>
    <x v="3"/>
    <x v="1"/>
    <x v="296"/>
    <x v="316"/>
    <x v="221"/>
    <x v="585"/>
    <x v="2"/>
    <x v="0"/>
    <x v="0"/>
    <x v="1"/>
    <x v="155"/>
    <x v="0"/>
    <x v="0"/>
    <x v="0"/>
    <x v="0"/>
    <x v="0"/>
    <x v="1"/>
    <x v="0"/>
    <x v="1"/>
    <x v="1"/>
  </r>
  <r>
    <x v="112"/>
    <x v="29"/>
    <x v="10"/>
    <x v="2"/>
    <x v="3"/>
    <x v="1"/>
    <x v="151"/>
    <x v="239"/>
    <x v="82"/>
    <x v="611"/>
    <x v="2"/>
    <x v="0"/>
    <x v="0"/>
    <x v="1"/>
    <x v="164"/>
    <x v="1"/>
    <x v="2"/>
    <x v="0"/>
    <x v="1"/>
    <x v="0"/>
    <x v="1"/>
    <x v="0"/>
    <x v="1"/>
    <x v="1"/>
  </r>
  <r>
    <x v="113"/>
    <x v="48"/>
    <x v="70"/>
    <x v="1"/>
    <x v="1"/>
    <x v="1"/>
    <x v="64"/>
    <x v="345"/>
    <x v="142"/>
    <x v="746"/>
    <x v="2"/>
    <x v="0"/>
    <x v="1"/>
    <x v="1"/>
    <x v="61"/>
    <x v="1"/>
    <x v="0"/>
    <x v="0"/>
    <x v="0"/>
    <x v="1"/>
    <x v="1"/>
    <x v="0"/>
    <x v="1"/>
    <x v="1"/>
  </r>
  <r>
    <x v="114"/>
    <x v="33"/>
    <x v="20"/>
    <x v="1"/>
    <x v="2"/>
    <x v="1"/>
    <x v="426"/>
    <x v="402"/>
    <x v="144"/>
    <x v="927"/>
    <x v="1"/>
    <x v="0"/>
    <x v="0"/>
    <x v="0"/>
    <x v="2"/>
    <x v="0"/>
    <x v="0"/>
    <x v="0"/>
    <x v="1"/>
    <x v="0"/>
    <x v="1"/>
    <x v="0"/>
    <x v="1"/>
    <x v="1"/>
  </r>
  <r>
    <x v="115"/>
    <x v="29"/>
    <x v="34"/>
    <x v="0"/>
    <x v="0"/>
    <x v="1"/>
    <x v="464"/>
    <x v="1"/>
    <x v="72"/>
    <x v="175"/>
    <x v="0"/>
    <x v="1"/>
    <x v="3"/>
    <x v="3"/>
    <x v="113"/>
    <x v="0"/>
    <x v="1"/>
    <x v="0"/>
    <x v="0"/>
    <x v="1"/>
    <x v="0"/>
    <x v="1"/>
    <x v="1"/>
    <x v="1"/>
  </r>
  <r>
    <x v="116"/>
    <x v="51"/>
    <x v="1"/>
    <x v="0"/>
    <x v="5"/>
    <x v="0"/>
    <x v="289"/>
    <x v="532"/>
    <x v="58"/>
    <x v="318"/>
    <x v="1"/>
    <x v="0"/>
    <x v="1"/>
    <x v="1"/>
    <x v="148"/>
    <x v="3"/>
    <x v="0"/>
    <x v="0"/>
    <x v="2"/>
    <x v="1"/>
    <x v="1"/>
    <x v="0"/>
    <x v="0"/>
    <x v="0"/>
  </r>
  <r>
    <x v="117"/>
    <x v="5"/>
    <x v="9"/>
    <x v="1"/>
    <x v="5"/>
    <x v="1"/>
    <x v="66"/>
    <x v="241"/>
    <x v="90"/>
    <x v="848"/>
    <x v="2"/>
    <x v="0"/>
    <x v="0"/>
    <x v="1"/>
    <x v="33"/>
    <x v="3"/>
    <x v="0"/>
    <x v="0"/>
    <x v="1"/>
    <x v="0"/>
    <x v="1"/>
    <x v="0"/>
    <x v="1"/>
    <x v="1"/>
  </r>
  <r>
    <x v="118"/>
    <x v="48"/>
    <x v="14"/>
    <x v="0"/>
    <x v="3"/>
    <x v="1"/>
    <x v="127"/>
    <x v="713"/>
    <x v="81"/>
    <x v="303"/>
    <x v="1"/>
    <x v="0"/>
    <x v="2"/>
    <x v="2"/>
    <x v="208"/>
    <x v="4"/>
    <x v="1"/>
    <x v="0"/>
    <x v="1"/>
    <x v="1"/>
    <x v="1"/>
    <x v="0"/>
    <x v="1"/>
    <x v="1"/>
  </r>
  <r>
    <x v="119"/>
    <x v="11"/>
    <x v="3"/>
    <x v="1"/>
    <x v="1"/>
    <x v="0"/>
    <x v="298"/>
    <x v="574"/>
    <x v="16"/>
    <x v="877"/>
    <x v="1"/>
    <x v="0"/>
    <x v="0"/>
    <x v="0"/>
    <x v="306"/>
    <x v="1"/>
    <x v="1"/>
    <x v="0"/>
    <x v="2"/>
    <x v="0"/>
    <x v="1"/>
    <x v="0"/>
    <x v="0"/>
    <x v="0"/>
  </r>
  <r>
    <x v="120"/>
    <x v="19"/>
    <x v="52"/>
    <x v="2"/>
    <x v="1"/>
    <x v="0"/>
    <x v="403"/>
    <x v="695"/>
    <x v="69"/>
    <x v="622"/>
    <x v="0"/>
    <x v="1"/>
    <x v="0"/>
    <x v="0"/>
    <x v="279"/>
    <x v="0"/>
    <x v="1"/>
    <x v="0"/>
    <x v="0"/>
    <x v="0"/>
    <x v="0"/>
    <x v="0"/>
    <x v="0"/>
    <x v="0"/>
  </r>
  <r>
    <x v="121"/>
    <x v="0"/>
    <x v="68"/>
    <x v="0"/>
    <x v="5"/>
    <x v="0"/>
    <x v="74"/>
    <x v="109"/>
    <x v="134"/>
    <x v="223"/>
    <x v="0"/>
    <x v="1"/>
    <x v="2"/>
    <x v="2"/>
    <x v="174"/>
    <x v="1"/>
    <x v="0"/>
    <x v="0"/>
    <x v="0"/>
    <x v="1"/>
    <x v="0"/>
    <x v="0"/>
    <x v="0"/>
    <x v="0"/>
  </r>
  <r>
    <x v="122"/>
    <x v="33"/>
    <x v="70"/>
    <x v="1"/>
    <x v="2"/>
    <x v="0"/>
    <x v="212"/>
    <x v="271"/>
    <x v="204"/>
    <x v="926"/>
    <x v="0"/>
    <x v="1"/>
    <x v="0"/>
    <x v="0"/>
    <x v="4"/>
    <x v="1"/>
    <x v="0"/>
    <x v="0"/>
    <x v="0"/>
    <x v="0"/>
    <x v="0"/>
    <x v="0"/>
    <x v="0"/>
    <x v="0"/>
  </r>
  <r>
    <x v="123"/>
    <x v="48"/>
    <x v="19"/>
    <x v="0"/>
    <x v="3"/>
    <x v="0"/>
    <x v="256"/>
    <x v="58"/>
    <x v="154"/>
    <x v="226"/>
    <x v="0"/>
    <x v="1"/>
    <x v="1"/>
    <x v="1"/>
    <x v="265"/>
    <x v="0"/>
    <x v="0"/>
    <x v="0"/>
    <x v="1"/>
    <x v="1"/>
    <x v="0"/>
    <x v="0"/>
    <x v="0"/>
    <x v="0"/>
  </r>
  <r>
    <x v="124"/>
    <x v="22"/>
    <x v="56"/>
    <x v="2"/>
    <x v="2"/>
    <x v="0"/>
    <x v="347"/>
    <x v="173"/>
    <x v="0"/>
    <x v="626"/>
    <x v="0"/>
    <x v="1"/>
    <x v="0"/>
    <x v="1"/>
    <x v="205"/>
    <x v="0"/>
    <x v="1"/>
    <x v="0"/>
    <x v="0"/>
    <x v="0"/>
    <x v="0"/>
    <x v="0"/>
    <x v="0"/>
    <x v="0"/>
  </r>
  <r>
    <x v="125"/>
    <x v="38"/>
    <x v="36"/>
    <x v="2"/>
    <x v="1"/>
    <x v="0"/>
    <x v="180"/>
    <x v="711"/>
    <x v="160"/>
    <x v="634"/>
    <x v="1"/>
    <x v="0"/>
    <x v="2"/>
    <x v="3"/>
    <x v="236"/>
    <x v="1"/>
    <x v="1"/>
    <x v="0"/>
    <x v="0"/>
    <x v="1"/>
    <x v="1"/>
    <x v="0"/>
    <x v="0"/>
    <x v="0"/>
  </r>
  <r>
    <x v="126"/>
    <x v="22"/>
    <x v="3"/>
    <x v="2"/>
    <x v="3"/>
    <x v="0"/>
    <x v="44"/>
    <x v="746"/>
    <x v="76"/>
    <x v="576"/>
    <x v="0"/>
    <x v="1"/>
    <x v="1"/>
    <x v="1"/>
    <x v="356"/>
    <x v="1"/>
    <x v="1"/>
    <x v="0"/>
    <x v="2"/>
    <x v="1"/>
    <x v="0"/>
    <x v="0"/>
    <x v="0"/>
    <x v="0"/>
  </r>
  <r>
    <x v="127"/>
    <x v="44"/>
    <x v="6"/>
    <x v="2"/>
    <x v="2"/>
    <x v="1"/>
    <x v="314"/>
    <x v="74"/>
    <x v="147"/>
    <x v="498"/>
    <x v="1"/>
    <x v="0"/>
    <x v="1"/>
    <x v="1"/>
    <x v="94"/>
    <x v="3"/>
    <x v="0"/>
    <x v="0"/>
    <x v="1"/>
    <x v="1"/>
    <x v="1"/>
    <x v="0"/>
    <x v="1"/>
    <x v="1"/>
  </r>
  <r>
    <x v="128"/>
    <x v="57"/>
    <x v="39"/>
    <x v="2"/>
    <x v="2"/>
    <x v="0"/>
    <x v="379"/>
    <x v="237"/>
    <x v="114"/>
    <x v="423"/>
    <x v="0"/>
    <x v="1"/>
    <x v="1"/>
    <x v="1"/>
    <x v="0"/>
    <x v="0"/>
    <x v="0"/>
    <x v="1"/>
    <x v="0"/>
    <x v="1"/>
    <x v="0"/>
    <x v="0"/>
    <x v="0"/>
    <x v="0"/>
  </r>
  <r>
    <x v="129"/>
    <x v="41"/>
    <x v="30"/>
    <x v="1"/>
    <x v="1"/>
    <x v="0"/>
    <x v="218"/>
    <x v="376"/>
    <x v="102"/>
    <x v="903"/>
    <x v="0"/>
    <x v="1"/>
    <x v="0"/>
    <x v="0"/>
    <x v="73"/>
    <x v="2"/>
    <x v="1"/>
    <x v="1"/>
    <x v="0"/>
    <x v="0"/>
    <x v="0"/>
    <x v="0"/>
    <x v="0"/>
    <x v="0"/>
  </r>
  <r>
    <x v="130"/>
    <x v="19"/>
    <x v="0"/>
    <x v="1"/>
    <x v="2"/>
    <x v="0"/>
    <x v="283"/>
    <x v="572"/>
    <x v="108"/>
    <x v="772"/>
    <x v="0"/>
    <x v="1"/>
    <x v="1"/>
    <x v="2"/>
    <x v="242"/>
    <x v="2"/>
    <x v="1"/>
    <x v="2"/>
    <x v="2"/>
    <x v="1"/>
    <x v="0"/>
    <x v="0"/>
    <x v="0"/>
    <x v="1"/>
  </r>
  <r>
    <x v="131"/>
    <x v="47"/>
    <x v="66"/>
    <x v="2"/>
    <x v="0"/>
    <x v="0"/>
    <x v="167"/>
    <x v="0"/>
    <x v="113"/>
    <x v="542"/>
    <x v="1"/>
    <x v="0"/>
    <x v="0"/>
    <x v="0"/>
    <x v="190"/>
    <x v="1"/>
    <x v="0"/>
    <x v="0"/>
    <x v="0"/>
    <x v="0"/>
    <x v="1"/>
    <x v="1"/>
    <x v="0"/>
    <x v="0"/>
  </r>
  <r>
    <x v="132"/>
    <x v="2"/>
    <x v="52"/>
    <x v="0"/>
    <x v="1"/>
    <x v="0"/>
    <x v="120"/>
    <x v="11"/>
    <x v="209"/>
    <x v="314"/>
    <x v="1"/>
    <x v="0"/>
    <x v="0"/>
    <x v="0"/>
    <x v="57"/>
    <x v="0"/>
    <x v="0"/>
    <x v="0"/>
    <x v="0"/>
    <x v="0"/>
    <x v="1"/>
    <x v="1"/>
    <x v="0"/>
    <x v="0"/>
  </r>
  <r>
    <x v="133"/>
    <x v="57"/>
    <x v="36"/>
    <x v="2"/>
    <x v="3"/>
    <x v="1"/>
    <x v="369"/>
    <x v="542"/>
    <x v="114"/>
    <x v="362"/>
    <x v="2"/>
    <x v="0"/>
    <x v="0"/>
    <x v="0"/>
    <x v="184"/>
    <x v="3"/>
    <x v="0"/>
    <x v="0"/>
    <x v="0"/>
    <x v="0"/>
    <x v="1"/>
    <x v="0"/>
    <x v="1"/>
    <x v="0"/>
  </r>
  <r>
    <x v="134"/>
    <x v="48"/>
    <x v="71"/>
    <x v="1"/>
    <x v="1"/>
    <x v="0"/>
    <x v="280"/>
    <x v="0"/>
    <x v="191"/>
    <x v="831"/>
    <x v="0"/>
    <x v="1"/>
    <x v="1"/>
    <x v="2"/>
    <x v="148"/>
    <x v="2"/>
    <x v="0"/>
    <x v="0"/>
    <x v="0"/>
    <x v="1"/>
    <x v="0"/>
    <x v="1"/>
    <x v="0"/>
    <x v="0"/>
  </r>
  <r>
    <x v="135"/>
    <x v="37"/>
    <x v="69"/>
    <x v="0"/>
    <x v="2"/>
    <x v="0"/>
    <x v="296"/>
    <x v="242"/>
    <x v="181"/>
    <x v="286"/>
    <x v="0"/>
    <x v="1"/>
    <x v="1"/>
    <x v="2"/>
    <x v="54"/>
    <x v="0"/>
    <x v="2"/>
    <x v="1"/>
    <x v="0"/>
    <x v="1"/>
    <x v="0"/>
    <x v="0"/>
    <x v="0"/>
    <x v="0"/>
  </r>
  <r>
    <x v="136"/>
    <x v="36"/>
    <x v="70"/>
    <x v="2"/>
    <x v="0"/>
    <x v="0"/>
    <x v="416"/>
    <x v="457"/>
    <x v="162"/>
    <x v="529"/>
    <x v="0"/>
    <x v="1"/>
    <x v="0"/>
    <x v="0"/>
    <x v="245"/>
    <x v="1"/>
    <x v="1"/>
    <x v="2"/>
    <x v="0"/>
    <x v="0"/>
    <x v="0"/>
    <x v="0"/>
    <x v="0"/>
    <x v="0"/>
  </r>
  <r>
    <x v="137"/>
    <x v="14"/>
    <x v="18"/>
    <x v="2"/>
    <x v="1"/>
    <x v="0"/>
    <x v="94"/>
    <x v="383"/>
    <x v="0"/>
    <x v="504"/>
    <x v="0"/>
    <x v="1"/>
    <x v="1"/>
    <x v="1"/>
    <x v="143"/>
    <x v="1"/>
    <x v="2"/>
    <x v="1"/>
    <x v="1"/>
    <x v="1"/>
    <x v="0"/>
    <x v="1"/>
    <x v="0"/>
    <x v="0"/>
  </r>
  <r>
    <x v="138"/>
    <x v="25"/>
    <x v="63"/>
    <x v="0"/>
    <x v="5"/>
    <x v="0"/>
    <x v="155"/>
    <x v="351"/>
    <x v="193"/>
    <x v="225"/>
    <x v="0"/>
    <x v="1"/>
    <x v="0"/>
    <x v="1"/>
    <x v="118"/>
    <x v="0"/>
    <x v="1"/>
    <x v="1"/>
    <x v="0"/>
    <x v="0"/>
    <x v="0"/>
    <x v="0"/>
    <x v="0"/>
    <x v="0"/>
  </r>
  <r>
    <x v="139"/>
    <x v="5"/>
    <x v="36"/>
    <x v="2"/>
    <x v="2"/>
    <x v="0"/>
    <x v="251"/>
    <x v="273"/>
    <x v="83"/>
    <x v="742"/>
    <x v="2"/>
    <x v="0"/>
    <x v="1"/>
    <x v="2"/>
    <x v="102"/>
    <x v="2"/>
    <x v="0"/>
    <x v="0"/>
    <x v="0"/>
    <x v="1"/>
    <x v="1"/>
    <x v="0"/>
    <x v="0"/>
    <x v="0"/>
  </r>
  <r>
    <x v="140"/>
    <x v="19"/>
    <x v="52"/>
    <x v="2"/>
    <x v="1"/>
    <x v="0"/>
    <x v="153"/>
    <x v="636"/>
    <x v="165"/>
    <x v="387"/>
    <x v="0"/>
    <x v="1"/>
    <x v="0"/>
    <x v="1"/>
    <x v="219"/>
    <x v="2"/>
    <x v="0"/>
    <x v="0"/>
    <x v="0"/>
    <x v="0"/>
    <x v="0"/>
    <x v="0"/>
    <x v="0"/>
    <x v="0"/>
  </r>
  <r>
    <x v="141"/>
    <x v="34"/>
    <x v="61"/>
    <x v="1"/>
    <x v="1"/>
    <x v="1"/>
    <x v="336"/>
    <x v="494"/>
    <x v="49"/>
    <x v="965"/>
    <x v="0"/>
    <x v="1"/>
    <x v="0"/>
    <x v="1"/>
    <x v="192"/>
    <x v="1"/>
    <x v="1"/>
    <x v="0"/>
    <x v="0"/>
    <x v="0"/>
    <x v="0"/>
    <x v="0"/>
    <x v="1"/>
    <x v="1"/>
  </r>
  <r>
    <x v="142"/>
    <x v="21"/>
    <x v="11"/>
    <x v="1"/>
    <x v="4"/>
    <x v="0"/>
    <x v="203"/>
    <x v="185"/>
    <x v="34"/>
    <x v="697"/>
    <x v="0"/>
    <x v="1"/>
    <x v="0"/>
    <x v="0"/>
    <x v="211"/>
    <x v="0"/>
    <x v="0"/>
    <x v="1"/>
    <x v="1"/>
    <x v="0"/>
    <x v="0"/>
    <x v="0"/>
    <x v="0"/>
    <x v="0"/>
  </r>
  <r>
    <x v="143"/>
    <x v="44"/>
    <x v="32"/>
    <x v="1"/>
    <x v="1"/>
    <x v="1"/>
    <x v="101"/>
    <x v="416"/>
    <x v="238"/>
    <x v="821"/>
    <x v="1"/>
    <x v="0"/>
    <x v="0"/>
    <x v="1"/>
    <x v="209"/>
    <x v="0"/>
    <x v="0"/>
    <x v="0"/>
    <x v="0"/>
    <x v="0"/>
    <x v="1"/>
    <x v="0"/>
    <x v="1"/>
    <x v="0"/>
  </r>
  <r>
    <x v="144"/>
    <x v="49"/>
    <x v="9"/>
    <x v="2"/>
    <x v="1"/>
    <x v="0"/>
    <x v="238"/>
    <x v="511"/>
    <x v="50"/>
    <x v="509"/>
    <x v="0"/>
    <x v="1"/>
    <x v="1"/>
    <x v="1"/>
    <x v="179"/>
    <x v="1"/>
    <x v="1"/>
    <x v="0"/>
    <x v="1"/>
    <x v="1"/>
    <x v="0"/>
    <x v="0"/>
    <x v="0"/>
    <x v="0"/>
  </r>
  <r>
    <x v="145"/>
    <x v="32"/>
    <x v="20"/>
    <x v="0"/>
    <x v="3"/>
    <x v="0"/>
    <x v="253"/>
    <x v="774"/>
    <x v="195"/>
    <x v="353"/>
    <x v="0"/>
    <x v="1"/>
    <x v="1"/>
    <x v="1"/>
    <x v="74"/>
    <x v="0"/>
    <x v="0"/>
    <x v="0"/>
    <x v="1"/>
    <x v="1"/>
    <x v="0"/>
    <x v="0"/>
    <x v="0"/>
    <x v="0"/>
  </r>
  <r>
    <x v="146"/>
    <x v="19"/>
    <x v="29"/>
    <x v="2"/>
    <x v="3"/>
    <x v="0"/>
    <x v="355"/>
    <x v="383"/>
    <x v="123"/>
    <x v="730"/>
    <x v="0"/>
    <x v="1"/>
    <x v="0"/>
    <x v="0"/>
    <x v="105"/>
    <x v="0"/>
    <x v="0"/>
    <x v="0"/>
    <x v="0"/>
    <x v="0"/>
    <x v="0"/>
    <x v="1"/>
    <x v="0"/>
    <x v="0"/>
  </r>
  <r>
    <x v="147"/>
    <x v="17"/>
    <x v="61"/>
    <x v="1"/>
    <x v="1"/>
    <x v="0"/>
    <x v="281"/>
    <x v="703"/>
    <x v="86"/>
    <x v="839"/>
    <x v="0"/>
    <x v="1"/>
    <x v="0"/>
    <x v="0"/>
    <x v="184"/>
    <x v="1"/>
    <x v="0"/>
    <x v="1"/>
    <x v="0"/>
    <x v="0"/>
    <x v="0"/>
    <x v="0"/>
    <x v="0"/>
    <x v="0"/>
  </r>
  <r>
    <x v="148"/>
    <x v="31"/>
    <x v="62"/>
    <x v="2"/>
    <x v="3"/>
    <x v="0"/>
    <x v="291"/>
    <x v="194"/>
    <x v="112"/>
    <x v="446"/>
    <x v="0"/>
    <x v="1"/>
    <x v="3"/>
    <x v="3"/>
    <x v="358"/>
    <x v="1"/>
    <x v="1"/>
    <x v="0"/>
    <x v="0"/>
    <x v="1"/>
    <x v="0"/>
    <x v="0"/>
    <x v="0"/>
    <x v="0"/>
  </r>
  <r>
    <x v="149"/>
    <x v="41"/>
    <x v="28"/>
    <x v="1"/>
    <x v="2"/>
    <x v="1"/>
    <x v="271"/>
    <x v="221"/>
    <x v="26"/>
    <x v="941"/>
    <x v="1"/>
    <x v="0"/>
    <x v="3"/>
    <x v="3"/>
    <x v="43"/>
    <x v="1"/>
    <x v="1"/>
    <x v="0"/>
    <x v="0"/>
    <x v="1"/>
    <x v="1"/>
    <x v="0"/>
    <x v="1"/>
    <x v="0"/>
  </r>
  <r>
    <x v="150"/>
    <x v="7"/>
    <x v="23"/>
    <x v="0"/>
    <x v="5"/>
    <x v="0"/>
    <x v="203"/>
    <x v="317"/>
    <x v="114"/>
    <x v="311"/>
    <x v="1"/>
    <x v="0"/>
    <x v="1"/>
    <x v="1"/>
    <x v="142"/>
    <x v="1"/>
    <x v="1"/>
    <x v="0"/>
    <x v="1"/>
    <x v="1"/>
    <x v="1"/>
    <x v="0"/>
    <x v="0"/>
    <x v="0"/>
  </r>
  <r>
    <x v="151"/>
    <x v="25"/>
    <x v="38"/>
    <x v="1"/>
    <x v="0"/>
    <x v="1"/>
    <x v="135"/>
    <x v="350"/>
    <x v="41"/>
    <x v="898"/>
    <x v="1"/>
    <x v="0"/>
    <x v="1"/>
    <x v="2"/>
    <x v="199"/>
    <x v="1"/>
    <x v="1"/>
    <x v="0"/>
    <x v="0"/>
    <x v="1"/>
    <x v="1"/>
    <x v="0"/>
    <x v="1"/>
    <x v="1"/>
  </r>
  <r>
    <x v="152"/>
    <x v="25"/>
    <x v="65"/>
    <x v="0"/>
    <x v="2"/>
    <x v="0"/>
    <x v="267"/>
    <x v="110"/>
    <x v="87"/>
    <x v="6"/>
    <x v="0"/>
    <x v="1"/>
    <x v="0"/>
    <x v="0"/>
    <x v="184"/>
    <x v="0"/>
    <x v="1"/>
    <x v="2"/>
    <x v="0"/>
    <x v="0"/>
    <x v="0"/>
    <x v="0"/>
    <x v="0"/>
    <x v="0"/>
  </r>
  <r>
    <x v="153"/>
    <x v="16"/>
    <x v="70"/>
    <x v="0"/>
    <x v="1"/>
    <x v="0"/>
    <x v="181"/>
    <x v="714"/>
    <x v="180"/>
    <x v="296"/>
    <x v="1"/>
    <x v="0"/>
    <x v="0"/>
    <x v="0"/>
    <x v="184"/>
    <x v="0"/>
    <x v="0"/>
    <x v="0"/>
    <x v="0"/>
    <x v="0"/>
    <x v="1"/>
    <x v="0"/>
    <x v="0"/>
    <x v="0"/>
  </r>
  <r>
    <x v="154"/>
    <x v="13"/>
    <x v="16"/>
    <x v="2"/>
    <x v="2"/>
    <x v="0"/>
    <x v="431"/>
    <x v="641"/>
    <x v="133"/>
    <x v="651"/>
    <x v="0"/>
    <x v="1"/>
    <x v="0"/>
    <x v="0"/>
    <x v="184"/>
    <x v="0"/>
    <x v="1"/>
    <x v="0"/>
    <x v="1"/>
    <x v="0"/>
    <x v="0"/>
    <x v="0"/>
    <x v="0"/>
    <x v="0"/>
  </r>
  <r>
    <x v="155"/>
    <x v="48"/>
    <x v="13"/>
    <x v="0"/>
    <x v="5"/>
    <x v="0"/>
    <x v="403"/>
    <x v="294"/>
    <x v="14"/>
    <x v="323"/>
    <x v="0"/>
    <x v="1"/>
    <x v="1"/>
    <x v="1"/>
    <x v="163"/>
    <x v="3"/>
    <x v="0"/>
    <x v="2"/>
    <x v="1"/>
    <x v="1"/>
    <x v="0"/>
    <x v="0"/>
    <x v="0"/>
    <x v="0"/>
  </r>
  <r>
    <x v="156"/>
    <x v="25"/>
    <x v="50"/>
    <x v="0"/>
    <x v="3"/>
    <x v="0"/>
    <x v="316"/>
    <x v="591"/>
    <x v="175"/>
    <x v="150"/>
    <x v="2"/>
    <x v="0"/>
    <x v="0"/>
    <x v="1"/>
    <x v="276"/>
    <x v="1"/>
    <x v="2"/>
    <x v="1"/>
    <x v="0"/>
    <x v="0"/>
    <x v="1"/>
    <x v="0"/>
    <x v="0"/>
    <x v="0"/>
  </r>
  <r>
    <x v="157"/>
    <x v="33"/>
    <x v="21"/>
    <x v="0"/>
    <x v="5"/>
    <x v="0"/>
    <x v="279"/>
    <x v="483"/>
    <x v="115"/>
    <x v="198"/>
    <x v="0"/>
    <x v="1"/>
    <x v="1"/>
    <x v="2"/>
    <x v="348"/>
    <x v="1"/>
    <x v="1"/>
    <x v="0"/>
    <x v="1"/>
    <x v="1"/>
    <x v="0"/>
    <x v="0"/>
    <x v="0"/>
    <x v="0"/>
  </r>
  <r>
    <x v="158"/>
    <x v="2"/>
    <x v="14"/>
    <x v="2"/>
    <x v="5"/>
    <x v="0"/>
    <x v="217"/>
    <x v="610"/>
    <x v="77"/>
    <x v="525"/>
    <x v="0"/>
    <x v="1"/>
    <x v="1"/>
    <x v="1"/>
    <x v="327"/>
    <x v="2"/>
    <x v="0"/>
    <x v="3"/>
    <x v="1"/>
    <x v="1"/>
    <x v="0"/>
    <x v="0"/>
    <x v="0"/>
    <x v="0"/>
  </r>
  <r>
    <x v="159"/>
    <x v="16"/>
    <x v="2"/>
    <x v="1"/>
    <x v="5"/>
    <x v="1"/>
    <x v="71"/>
    <x v="44"/>
    <x v="167"/>
    <x v="883"/>
    <x v="0"/>
    <x v="1"/>
    <x v="2"/>
    <x v="2"/>
    <x v="173"/>
    <x v="2"/>
    <x v="1"/>
    <x v="0"/>
    <x v="2"/>
    <x v="1"/>
    <x v="0"/>
    <x v="1"/>
    <x v="1"/>
    <x v="1"/>
  </r>
  <r>
    <x v="160"/>
    <x v="12"/>
    <x v="29"/>
    <x v="0"/>
    <x v="2"/>
    <x v="1"/>
    <x v="199"/>
    <x v="349"/>
    <x v="103"/>
    <x v="46"/>
    <x v="0"/>
    <x v="1"/>
    <x v="0"/>
    <x v="1"/>
    <x v="182"/>
    <x v="0"/>
    <x v="0"/>
    <x v="1"/>
    <x v="0"/>
    <x v="0"/>
    <x v="0"/>
    <x v="0"/>
    <x v="1"/>
    <x v="1"/>
  </r>
  <r>
    <x v="161"/>
    <x v="19"/>
    <x v="28"/>
    <x v="2"/>
    <x v="0"/>
    <x v="0"/>
    <x v="242"/>
    <x v="384"/>
    <x v="35"/>
    <x v="700"/>
    <x v="0"/>
    <x v="1"/>
    <x v="1"/>
    <x v="2"/>
    <x v="193"/>
    <x v="2"/>
    <x v="0"/>
    <x v="0"/>
    <x v="0"/>
    <x v="1"/>
    <x v="0"/>
    <x v="0"/>
    <x v="0"/>
    <x v="0"/>
  </r>
  <r>
    <x v="162"/>
    <x v="48"/>
    <x v="40"/>
    <x v="1"/>
    <x v="3"/>
    <x v="0"/>
    <x v="260"/>
    <x v="586"/>
    <x v="236"/>
    <x v="750"/>
    <x v="1"/>
    <x v="0"/>
    <x v="0"/>
    <x v="1"/>
    <x v="205"/>
    <x v="1"/>
    <x v="0"/>
    <x v="0"/>
    <x v="0"/>
    <x v="0"/>
    <x v="1"/>
    <x v="0"/>
    <x v="0"/>
    <x v="0"/>
  </r>
  <r>
    <x v="163"/>
    <x v="33"/>
    <x v="14"/>
    <x v="0"/>
    <x v="2"/>
    <x v="0"/>
    <x v="292"/>
    <x v="190"/>
    <x v="114"/>
    <x v="30"/>
    <x v="1"/>
    <x v="0"/>
    <x v="1"/>
    <x v="1"/>
    <x v="91"/>
    <x v="1"/>
    <x v="0"/>
    <x v="0"/>
    <x v="1"/>
    <x v="1"/>
    <x v="1"/>
    <x v="0"/>
    <x v="0"/>
    <x v="0"/>
  </r>
  <r>
    <x v="164"/>
    <x v="52"/>
    <x v="51"/>
    <x v="0"/>
    <x v="1"/>
    <x v="0"/>
    <x v="353"/>
    <x v="0"/>
    <x v="109"/>
    <x v="16"/>
    <x v="1"/>
    <x v="0"/>
    <x v="1"/>
    <x v="2"/>
    <x v="287"/>
    <x v="0"/>
    <x v="0"/>
    <x v="0"/>
    <x v="0"/>
    <x v="1"/>
    <x v="1"/>
    <x v="1"/>
    <x v="0"/>
    <x v="0"/>
  </r>
  <r>
    <x v="165"/>
    <x v="24"/>
    <x v="48"/>
    <x v="1"/>
    <x v="3"/>
    <x v="0"/>
    <x v="138"/>
    <x v="92"/>
    <x v="87"/>
    <x v="976"/>
    <x v="0"/>
    <x v="1"/>
    <x v="0"/>
    <x v="0"/>
    <x v="212"/>
    <x v="0"/>
    <x v="1"/>
    <x v="1"/>
    <x v="0"/>
    <x v="0"/>
    <x v="0"/>
    <x v="0"/>
    <x v="0"/>
    <x v="0"/>
  </r>
  <r>
    <x v="166"/>
    <x v="44"/>
    <x v="33"/>
    <x v="1"/>
    <x v="5"/>
    <x v="1"/>
    <x v="140"/>
    <x v="381"/>
    <x v="198"/>
    <x v="826"/>
    <x v="0"/>
    <x v="1"/>
    <x v="0"/>
    <x v="0"/>
    <x v="183"/>
    <x v="2"/>
    <x v="1"/>
    <x v="0"/>
    <x v="0"/>
    <x v="0"/>
    <x v="0"/>
    <x v="0"/>
    <x v="1"/>
    <x v="1"/>
  </r>
  <r>
    <x v="167"/>
    <x v="9"/>
    <x v="13"/>
    <x v="2"/>
    <x v="5"/>
    <x v="0"/>
    <x v="412"/>
    <x v="426"/>
    <x v="78"/>
    <x v="435"/>
    <x v="0"/>
    <x v="1"/>
    <x v="0"/>
    <x v="3"/>
    <x v="51"/>
    <x v="0"/>
    <x v="0"/>
    <x v="0"/>
    <x v="1"/>
    <x v="0"/>
    <x v="0"/>
    <x v="0"/>
    <x v="0"/>
    <x v="0"/>
  </r>
  <r>
    <x v="168"/>
    <x v="47"/>
    <x v="36"/>
    <x v="1"/>
    <x v="3"/>
    <x v="0"/>
    <x v="335"/>
    <x v="770"/>
    <x v="10"/>
    <x v="810"/>
    <x v="0"/>
    <x v="1"/>
    <x v="0"/>
    <x v="0"/>
    <x v="194"/>
    <x v="1"/>
    <x v="1"/>
    <x v="0"/>
    <x v="0"/>
    <x v="0"/>
    <x v="0"/>
    <x v="0"/>
    <x v="0"/>
    <x v="0"/>
  </r>
  <r>
    <x v="169"/>
    <x v="35"/>
    <x v="48"/>
    <x v="0"/>
    <x v="0"/>
    <x v="1"/>
    <x v="175"/>
    <x v="571"/>
    <x v="67"/>
    <x v="75"/>
    <x v="0"/>
    <x v="1"/>
    <x v="2"/>
    <x v="3"/>
    <x v="1"/>
    <x v="0"/>
    <x v="0"/>
    <x v="0"/>
    <x v="0"/>
    <x v="1"/>
    <x v="0"/>
    <x v="0"/>
    <x v="1"/>
    <x v="1"/>
  </r>
  <r>
    <x v="170"/>
    <x v="2"/>
    <x v="26"/>
    <x v="2"/>
    <x v="3"/>
    <x v="0"/>
    <x v="214"/>
    <x v="434"/>
    <x v="208"/>
    <x v="670"/>
    <x v="0"/>
    <x v="1"/>
    <x v="0"/>
    <x v="0"/>
    <x v="184"/>
    <x v="1"/>
    <x v="1"/>
    <x v="0"/>
    <x v="0"/>
    <x v="0"/>
    <x v="0"/>
    <x v="0"/>
    <x v="0"/>
    <x v="0"/>
  </r>
  <r>
    <x v="171"/>
    <x v="39"/>
    <x v="18"/>
    <x v="2"/>
    <x v="1"/>
    <x v="0"/>
    <x v="215"/>
    <x v="393"/>
    <x v="173"/>
    <x v="410"/>
    <x v="0"/>
    <x v="1"/>
    <x v="1"/>
    <x v="1"/>
    <x v="125"/>
    <x v="1"/>
    <x v="0"/>
    <x v="1"/>
    <x v="1"/>
    <x v="1"/>
    <x v="0"/>
    <x v="0"/>
    <x v="0"/>
    <x v="0"/>
  </r>
  <r>
    <x v="172"/>
    <x v="27"/>
    <x v="36"/>
    <x v="0"/>
    <x v="3"/>
    <x v="0"/>
    <x v="233"/>
    <x v="685"/>
    <x v="97"/>
    <x v="69"/>
    <x v="2"/>
    <x v="0"/>
    <x v="1"/>
    <x v="1"/>
    <x v="221"/>
    <x v="2"/>
    <x v="1"/>
    <x v="0"/>
    <x v="0"/>
    <x v="1"/>
    <x v="1"/>
    <x v="0"/>
    <x v="0"/>
    <x v="0"/>
  </r>
  <r>
    <x v="173"/>
    <x v="0"/>
    <x v="25"/>
    <x v="1"/>
    <x v="0"/>
    <x v="1"/>
    <x v="293"/>
    <x v="201"/>
    <x v="211"/>
    <x v="921"/>
    <x v="1"/>
    <x v="0"/>
    <x v="0"/>
    <x v="1"/>
    <x v="352"/>
    <x v="3"/>
    <x v="1"/>
    <x v="0"/>
    <x v="0"/>
    <x v="0"/>
    <x v="1"/>
    <x v="0"/>
    <x v="1"/>
    <x v="1"/>
  </r>
  <r>
    <x v="174"/>
    <x v="49"/>
    <x v="28"/>
    <x v="2"/>
    <x v="2"/>
    <x v="1"/>
    <x v="466"/>
    <x v="352"/>
    <x v="167"/>
    <x v="569"/>
    <x v="0"/>
    <x v="1"/>
    <x v="2"/>
    <x v="2"/>
    <x v="252"/>
    <x v="2"/>
    <x v="2"/>
    <x v="0"/>
    <x v="0"/>
    <x v="1"/>
    <x v="0"/>
    <x v="0"/>
    <x v="1"/>
    <x v="1"/>
  </r>
  <r>
    <x v="175"/>
    <x v="31"/>
    <x v="25"/>
    <x v="1"/>
    <x v="2"/>
    <x v="0"/>
    <x v="255"/>
    <x v="88"/>
    <x v="96"/>
    <x v="862"/>
    <x v="1"/>
    <x v="0"/>
    <x v="1"/>
    <x v="2"/>
    <x v="329"/>
    <x v="0"/>
    <x v="1"/>
    <x v="0"/>
    <x v="0"/>
    <x v="1"/>
    <x v="1"/>
    <x v="0"/>
    <x v="0"/>
    <x v="0"/>
  </r>
  <r>
    <x v="176"/>
    <x v="35"/>
    <x v="21"/>
    <x v="2"/>
    <x v="3"/>
    <x v="0"/>
    <x v="320"/>
    <x v="735"/>
    <x v="103"/>
    <x v="396"/>
    <x v="0"/>
    <x v="1"/>
    <x v="0"/>
    <x v="0"/>
    <x v="258"/>
    <x v="0"/>
    <x v="0"/>
    <x v="1"/>
    <x v="1"/>
    <x v="0"/>
    <x v="0"/>
    <x v="0"/>
    <x v="0"/>
    <x v="0"/>
  </r>
  <r>
    <x v="177"/>
    <x v="33"/>
    <x v="51"/>
    <x v="2"/>
    <x v="0"/>
    <x v="0"/>
    <x v="35"/>
    <x v="514"/>
    <x v="138"/>
    <x v="660"/>
    <x v="0"/>
    <x v="1"/>
    <x v="0"/>
    <x v="0"/>
    <x v="304"/>
    <x v="1"/>
    <x v="0"/>
    <x v="0"/>
    <x v="0"/>
    <x v="0"/>
    <x v="0"/>
    <x v="0"/>
    <x v="0"/>
    <x v="0"/>
  </r>
  <r>
    <x v="178"/>
    <x v="5"/>
    <x v="33"/>
    <x v="0"/>
    <x v="0"/>
    <x v="1"/>
    <x v="165"/>
    <x v="172"/>
    <x v="57"/>
    <x v="89"/>
    <x v="0"/>
    <x v="1"/>
    <x v="0"/>
    <x v="0"/>
    <x v="184"/>
    <x v="0"/>
    <x v="0"/>
    <x v="0"/>
    <x v="0"/>
    <x v="0"/>
    <x v="0"/>
    <x v="0"/>
    <x v="1"/>
    <x v="1"/>
  </r>
  <r>
    <x v="179"/>
    <x v="19"/>
    <x v="33"/>
    <x v="0"/>
    <x v="5"/>
    <x v="1"/>
    <x v="391"/>
    <x v="361"/>
    <x v="115"/>
    <x v="143"/>
    <x v="0"/>
    <x v="1"/>
    <x v="1"/>
    <x v="1"/>
    <x v="105"/>
    <x v="1"/>
    <x v="1"/>
    <x v="0"/>
    <x v="0"/>
    <x v="1"/>
    <x v="0"/>
    <x v="0"/>
    <x v="1"/>
    <x v="0"/>
  </r>
  <r>
    <x v="180"/>
    <x v="40"/>
    <x v="47"/>
    <x v="1"/>
    <x v="0"/>
    <x v="0"/>
    <x v="282"/>
    <x v="545"/>
    <x v="137"/>
    <x v="812"/>
    <x v="0"/>
    <x v="1"/>
    <x v="0"/>
    <x v="2"/>
    <x v="97"/>
    <x v="0"/>
    <x v="0"/>
    <x v="0"/>
    <x v="0"/>
    <x v="0"/>
    <x v="0"/>
    <x v="0"/>
    <x v="0"/>
    <x v="0"/>
  </r>
  <r>
    <x v="181"/>
    <x v="19"/>
    <x v="26"/>
    <x v="0"/>
    <x v="0"/>
    <x v="1"/>
    <x v="0"/>
    <x v="311"/>
    <x v="2"/>
    <x v="327"/>
    <x v="0"/>
    <x v="1"/>
    <x v="0"/>
    <x v="0"/>
    <x v="261"/>
    <x v="1"/>
    <x v="0"/>
    <x v="0"/>
    <x v="0"/>
    <x v="0"/>
    <x v="0"/>
    <x v="0"/>
    <x v="1"/>
    <x v="1"/>
  </r>
  <r>
    <x v="182"/>
    <x v="51"/>
    <x v="7"/>
    <x v="0"/>
    <x v="1"/>
    <x v="0"/>
    <x v="322"/>
    <x v="218"/>
    <x v="102"/>
    <x v="63"/>
    <x v="0"/>
    <x v="1"/>
    <x v="0"/>
    <x v="0"/>
    <x v="187"/>
    <x v="1"/>
    <x v="1"/>
    <x v="0"/>
    <x v="1"/>
    <x v="0"/>
    <x v="0"/>
    <x v="0"/>
    <x v="0"/>
    <x v="0"/>
  </r>
  <r>
    <x v="183"/>
    <x v="18"/>
    <x v="61"/>
    <x v="0"/>
    <x v="3"/>
    <x v="0"/>
    <x v="445"/>
    <x v="182"/>
    <x v="94"/>
    <x v="160"/>
    <x v="0"/>
    <x v="1"/>
    <x v="3"/>
    <x v="4"/>
    <x v="213"/>
    <x v="2"/>
    <x v="0"/>
    <x v="0"/>
    <x v="0"/>
    <x v="1"/>
    <x v="0"/>
    <x v="0"/>
    <x v="0"/>
    <x v="0"/>
  </r>
  <r>
    <x v="184"/>
    <x v="26"/>
    <x v="4"/>
    <x v="0"/>
    <x v="5"/>
    <x v="0"/>
    <x v="14"/>
    <x v="501"/>
    <x v="187"/>
    <x v="178"/>
    <x v="0"/>
    <x v="1"/>
    <x v="1"/>
    <x v="1"/>
    <x v="161"/>
    <x v="0"/>
    <x v="0"/>
    <x v="1"/>
    <x v="2"/>
    <x v="1"/>
    <x v="0"/>
    <x v="0"/>
    <x v="0"/>
    <x v="0"/>
  </r>
  <r>
    <x v="185"/>
    <x v="25"/>
    <x v="41"/>
    <x v="1"/>
    <x v="5"/>
    <x v="0"/>
    <x v="417"/>
    <x v="277"/>
    <x v="0"/>
    <x v="717"/>
    <x v="2"/>
    <x v="0"/>
    <x v="0"/>
    <x v="0"/>
    <x v="121"/>
    <x v="1"/>
    <x v="0"/>
    <x v="1"/>
    <x v="0"/>
    <x v="0"/>
    <x v="1"/>
    <x v="0"/>
    <x v="0"/>
    <x v="0"/>
  </r>
  <r>
    <x v="186"/>
    <x v="1"/>
    <x v="19"/>
    <x v="2"/>
    <x v="3"/>
    <x v="0"/>
    <x v="0"/>
    <x v="238"/>
    <x v="88"/>
    <x v="416"/>
    <x v="1"/>
    <x v="0"/>
    <x v="0"/>
    <x v="1"/>
    <x v="339"/>
    <x v="0"/>
    <x v="0"/>
    <x v="0"/>
    <x v="1"/>
    <x v="0"/>
    <x v="1"/>
    <x v="0"/>
    <x v="0"/>
    <x v="0"/>
  </r>
  <r>
    <x v="187"/>
    <x v="47"/>
    <x v="15"/>
    <x v="1"/>
    <x v="2"/>
    <x v="1"/>
    <x v="356"/>
    <x v="47"/>
    <x v="81"/>
    <x v="748"/>
    <x v="0"/>
    <x v="1"/>
    <x v="2"/>
    <x v="2"/>
    <x v="68"/>
    <x v="3"/>
    <x v="1"/>
    <x v="0"/>
    <x v="1"/>
    <x v="1"/>
    <x v="0"/>
    <x v="1"/>
    <x v="1"/>
    <x v="0"/>
  </r>
  <r>
    <x v="188"/>
    <x v="7"/>
    <x v="3"/>
    <x v="0"/>
    <x v="5"/>
    <x v="1"/>
    <x v="228"/>
    <x v="432"/>
    <x v="182"/>
    <x v="305"/>
    <x v="0"/>
    <x v="1"/>
    <x v="0"/>
    <x v="0"/>
    <x v="263"/>
    <x v="0"/>
    <x v="1"/>
    <x v="0"/>
    <x v="2"/>
    <x v="0"/>
    <x v="0"/>
    <x v="0"/>
    <x v="1"/>
    <x v="0"/>
  </r>
  <r>
    <x v="189"/>
    <x v="27"/>
    <x v="64"/>
    <x v="2"/>
    <x v="3"/>
    <x v="0"/>
    <x v="3"/>
    <x v="338"/>
    <x v="112"/>
    <x v="366"/>
    <x v="0"/>
    <x v="1"/>
    <x v="1"/>
    <x v="2"/>
    <x v="246"/>
    <x v="1"/>
    <x v="1"/>
    <x v="3"/>
    <x v="0"/>
    <x v="1"/>
    <x v="0"/>
    <x v="0"/>
    <x v="0"/>
    <x v="0"/>
  </r>
  <r>
    <x v="190"/>
    <x v="52"/>
    <x v="30"/>
    <x v="2"/>
    <x v="0"/>
    <x v="1"/>
    <x v="289"/>
    <x v="290"/>
    <x v="235"/>
    <x v="460"/>
    <x v="2"/>
    <x v="0"/>
    <x v="0"/>
    <x v="1"/>
    <x v="24"/>
    <x v="0"/>
    <x v="0"/>
    <x v="1"/>
    <x v="0"/>
    <x v="0"/>
    <x v="1"/>
    <x v="0"/>
    <x v="1"/>
    <x v="1"/>
  </r>
  <r>
    <x v="191"/>
    <x v="57"/>
    <x v="24"/>
    <x v="2"/>
    <x v="3"/>
    <x v="0"/>
    <x v="383"/>
    <x v="469"/>
    <x v="161"/>
    <x v="682"/>
    <x v="0"/>
    <x v="1"/>
    <x v="0"/>
    <x v="0"/>
    <x v="184"/>
    <x v="0"/>
    <x v="0"/>
    <x v="1"/>
    <x v="0"/>
    <x v="0"/>
    <x v="0"/>
    <x v="0"/>
    <x v="0"/>
    <x v="0"/>
  </r>
  <r>
    <x v="192"/>
    <x v="13"/>
    <x v="53"/>
    <x v="1"/>
    <x v="2"/>
    <x v="0"/>
    <x v="277"/>
    <x v="383"/>
    <x v="86"/>
    <x v="818"/>
    <x v="0"/>
    <x v="1"/>
    <x v="1"/>
    <x v="2"/>
    <x v="113"/>
    <x v="0"/>
    <x v="2"/>
    <x v="1"/>
    <x v="0"/>
    <x v="1"/>
    <x v="0"/>
    <x v="1"/>
    <x v="0"/>
    <x v="0"/>
  </r>
  <r>
    <x v="193"/>
    <x v="21"/>
    <x v="2"/>
    <x v="1"/>
    <x v="5"/>
    <x v="1"/>
    <x v="309"/>
    <x v="605"/>
    <x v="132"/>
    <x v="806"/>
    <x v="0"/>
    <x v="1"/>
    <x v="0"/>
    <x v="0"/>
    <x v="251"/>
    <x v="1"/>
    <x v="1"/>
    <x v="0"/>
    <x v="2"/>
    <x v="0"/>
    <x v="0"/>
    <x v="0"/>
    <x v="1"/>
    <x v="1"/>
  </r>
  <r>
    <x v="194"/>
    <x v="32"/>
    <x v="40"/>
    <x v="1"/>
    <x v="2"/>
    <x v="1"/>
    <x v="172"/>
    <x v="558"/>
    <x v="90"/>
    <x v="966"/>
    <x v="0"/>
    <x v="1"/>
    <x v="0"/>
    <x v="1"/>
    <x v="147"/>
    <x v="1"/>
    <x v="1"/>
    <x v="2"/>
    <x v="0"/>
    <x v="0"/>
    <x v="0"/>
    <x v="0"/>
    <x v="1"/>
    <x v="1"/>
  </r>
  <r>
    <x v="195"/>
    <x v="40"/>
    <x v="35"/>
    <x v="0"/>
    <x v="2"/>
    <x v="0"/>
    <x v="21"/>
    <x v="314"/>
    <x v="175"/>
    <x v="150"/>
    <x v="3"/>
    <x v="0"/>
    <x v="1"/>
    <x v="2"/>
    <x v="178"/>
    <x v="1"/>
    <x v="0"/>
    <x v="0"/>
    <x v="0"/>
    <x v="1"/>
    <x v="1"/>
    <x v="0"/>
    <x v="0"/>
    <x v="0"/>
  </r>
  <r>
    <x v="196"/>
    <x v="14"/>
    <x v="39"/>
    <x v="0"/>
    <x v="1"/>
    <x v="0"/>
    <x v="325"/>
    <x v="208"/>
    <x v="24"/>
    <x v="48"/>
    <x v="0"/>
    <x v="1"/>
    <x v="0"/>
    <x v="0"/>
    <x v="31"/>
    <x v="3"/>
    <x v="4"/>
    <x v="0"/>
    <x v="0"/>
    <x v="0"/>
    <x v="0"/>
    <x v="0"/>
    <x v="0"/>
    <x v="0"/>
  </r>
  <r>
    <x v="197"/>
    <x v="31"/>
    <x v="8"/>
    <x v="2"/>
    <x v="0"/>
    <x v="0"/>
    <x v="436"/>
    <x v="383"/>
    <x v="57"/>
    <x v="417"/>
    <x v="0"/>
    <x v="1"/>
    <x v="0"/>
    <x v="1"/>
    <x v="367"/>
    <x v="2"/>
    <x v="1"/>
    <x v="1"/>
    <x v="1"/>
    <x v="0"/>
    <x v="0"/>
    <x v="1"/>
    <x v="0"/>
    <x v="0"/>
  </r>
  <r>
    <x v="198"/>
    <x v="48"/>
    <x v="68"/>
    <x v="0"/>
    <x v="2"/>
    <x v="1"/>
    <x v="379"/>
    <x v="200"/>
    <x v="147"/>
    <x v="326"/>
    <x v="1"/>
    <x v="0"/>
    <x v="0"/>
    <x v="1"/>
    <x v="196"/>
    <x v="1"/>
    <x v="1"/>
    <x v="1"/>
    <x v="0"/>
    <x v="0"/>
    <x v="1"/>
    <x v="0"/>
    <x v="1"/>
    <x v="1"/>
  </r>
  <r>
    <x v="199"/>
    <x v="44"/>
    <x v="17"/>
    <x v="2"/>
    <x v="3"/>
    <x v="0"/>
    <x v="15"/>
    <x v="411"/>
    <x v="201"/>
    <x v="982"/>
    <x v="0"/>
    <x v="1"/>
    <x v="1"/>
    <x v="1"/>
    <x v="244"/>
    <x v="1"/>
    <x v="1"/>
    <x v="0"/>
    <x v="1"/>
    <x v="1"/>
    <x v="0"/>
    <x v="0"/>
    <x v="0"/>
    <x v="0"/>
  </r>
  <r>
    <x v="200"/>
    <x v="47"/>
    <x v="48"/>
    <x v="2"/>
    <x v="5"/>
    <x v="1"/>
    <x v="46"/>
    <x v="151"/>
    <x v="0"/>
    <x v="693"/>
    <x v="0"/>
    <x v="1"/>
    <x v="0"/>
    <x v="1"/>
    <x v="128"/>
    <x v="2"/>
    <x v="0"/>
    <x v="1"/>
    <x v="0"/>
    <x v="0"/>
    <x v="0"/>
    <x v="0"/>
    <x v="1"/>
    <x v="1"/>
  </r>
  <r>
    <x v="201"/>
    <x v="51"/>
    <x v="53"/>
    <x v="2"/>
    <x v="0"/>
    <x v="1"/>
    <x v="120"/>
    <x v="437"/>
    <x v="211"/>
    <x v="443"/>
    <x v="1"/>
    <x v="0"/>
    <x v="1"/>
    <x v="1"/>
    <x v="115"/>
    <x v="2"/>
    <x v="0"/>
    <x v="2"/>
    <x v="0"/>
    <x v="1"/>
    <x v="1"/>
    <x v="0"/>
    <x v="1"/>
    <x v="0"/>
  </r>
  <r>
    <x v="202"/>
    <x v="49"/>
    <x v="24"/>
    <x v="1"/>
    <x v="1"/>
    <x v="1"/>
    <x v="42"/>
    <x v="120"/>
    <x v="105"/>
    <x v="879"/>
    <x v="1"/>
    <x v="0"/>
    <x v="1"/>
    <x v="1"/>
    <x v="354"/>
    <x v="1"/>
    <x v="1"/>
    <x v="0"/>
    <x v="0"/>
    <x v="1"/>
    <x v="1"/>
    <x v="0"/>
    <x v="1"/>
    <x v="1"/>
  </r>
  <r>
    <x v="203"/>
    <x v="29"/>
    <x v="9"/>
    <x v="2"/>
    <x v="2"/>
    <x v="1"/>
    <x v="235"/>
    <x v="7"/>
    <x v="0"/>
    <x v="521"/>
    <x v="1"/>
    <x v="0"/>
    <x v="1"/>
    <x v="1"/>
    <x v="0"/>
    <x v="1"/>
    <x v="0"/>
    <x v="0"/>
    <x v="1"/>
    <x v="1"/>
    <x v="1"/>
    <x v="1"/>
    <x v="1"/>
    <x v="1"/>
  </r>
  <r>
    <x v="204"/>
    <x v="56"/>
    <x v="21"/>
    <x v="0"/>
    <x v="2"/>
    <x v="1"/>
    <x v="281"/>
    <x v="631"/>
    <x v="0"/>
    <x v="40"/>
    <x v="0"/>
    <x v="1"/>
    <x v="0"/>
    <x v="1"/>
    <x v="220"/>
    <x v="2"/>
    <x v="0"/>
    <x v="0"/>
    <x v="1"/>
    <x v="0"/>
    <x v="0"/>
    <x v="0"/>
    <x v="1"/>
    <x v="1"/>
  </r>
  <r>
    <x v="205"/>
    <x v="28"/>
    <x v="58"/>
    <x v="0"/>
    <x v="3"/>
    <x v="1"/>
    <x v="54"/>
    <x v="383"/>
    <x v="11"/>
    <x v="8"/>
    <x v="0"/>
    <x v="1"/>
    <x v="0"/>
    <x v="0"/>
    <x v="58"/>
    <x v="1"/>
    <x v="0"/>
    <x v="1"/>
    <x v="0"/>
    <x v="0"/>
    <x v="0"/>
    <x v="1"/>
    <x v="1"/>
    <x v="1"/>
  </r>
  <r>
    <x v="206"/>
    <x v="41"/>
    <x v="65"/>
    <x v="2"/>
    <x v="2"/>
    <x v="0"/>
    <x v="336"/>
    <x v="140"/>
    <x v="114"/>
    <x v="640"/>
    <x v="0"/>
    <x v="1"/>
    <x v="1"/>
    <x v="1"/>
    <x v="143"/>
    <x v="2"/>
    <x v="1"/>
    <x v="0"/>
    <x v="0"/>
    <x v="1"/>
    <x v="0"/>
    <x v="0"/>
    <x v="0"/>
    <x v="0"/>
  </r>
  <r>
    <x v="207"/>
    <x v="54"/>
    <x v="67"/>
    <x v="2"/>
    <x v="5"/>
    <x v="0"/>
    <x v="311"/>
    <x v="87"/>
    <x v="110"/>
    <x v="624"/>
    <x v="0"/>
    <x v="1"/>
    <x v="2"/>
    <x v="2"/>
    <x v="116"/>
    <x v="1"/>
    <x v="0"/>
    <x v="0"/>
    <x v="0"/>
    <x v="1"/>
    <x v="0"/>
    <x v="0"/>
    <x v="0"/>
    <x v="0"/>
  </r>
  <r>
    <x v="208"/>
    <x v="2"/>
    <x v="16"/>
    <x v="0"/>
    <x v="2"/>
    <x v="0"/>
    <x v="156"/>
    <x v="524"/>
    <x v="159"/>
    <x v="165"/>
    <x v="1"/>
    <x v="0"/>
    <x v="0"/>
    <x v="0"/>
    <x v="77"/>
    <x v="2"/>
    <x v="0"/>
    <x v="0"/>
    <x v="1"/>
    <x v="0"/>
    <x v="1"/>
    <x v="0"/>
    <x v="0"/>
    <x v="0"/>
  </r>
  <r>
    <x v="209"/>
    <x v="54"/>
    <x v="43"/>
    <x v="2"/>
    <x v="1"/>
    <x v="0"/>
    <x v="205"/>
    <x v="727"/>
    <x v="77"/>
    <x v="572"/>
    <x v="0"/>
    <x v="1"/>
    <x v="0"/>
    <x v="0"/>
    <x v="191"/>
    <x v="2"/>
    <x v="0"/>
    <x v="1"/>
    <x v="0"/>
    <x v="0"/>
    <x v="0"/>
    <x v="0"/>
    <x v="0"/>
    <x v="0"/>
  </r>
  <r>
    <x v="210"/>
    <x v="47"/>
    <x v="10"/>
    <x v="1"/>
    <x v="5"/>
    <x v="0"/>
    <x v="17"/>
    <x v="260"/>
    <x v="39"/>
    <x v="777"/>
    <x v="1"/>
    <x v="0"/>
    <x v="2"/>
    <x v="3"/>
    <x v="0"/>
    <x v="2"/>
    <x v="0"/>
    <x v="0"/>
    <x v="1"/>
    <x v="1"/>
    <x v="1"/>
    <x v="0"/>
    <x v="0"/>
    <x v="1"/>
  </r>
  <r>
    <x v="211"/>
    <x v="57"/>
    <x v="51"/>
    <x v="1"/>
    <x v="1"/>
    <x v="0"/>
    <x v="181"/>
    <x v="324"/>
    <x v="86"/>
    <x v="874"/>
    <x v="0"/>
    <x v="1"/>
    <x v="0"/>
    <x v="0"/>
    <x v="153"/>
    <x v="0"/>
    <x v="0"/>
    <x v="0"/>
    <x v="0"/>
    <x v="0"/>
    <x v="0"/>
    <x v="0"/>
    <x v="0"/>
    <x v="0"/>
  </r>
  <r>
    <x v="212"/>
    <x v="44"/>
    <x v="29"/>
    <x v="2"/>
    <x v="2"/>
    <x v="0"/>
    <x v="229"/>
    <x v="676"/>
    <x v="117"/>
    <x v="394"/>
    <x v="0"/>
    <x v="1"/>
    <x v="1"/>
    <x v="1"/>
    <x v="177"/>
    <x v="0"/>
    <x v="0"/>
    <x v="0"/>
    <x v="0"/>
    <x v="1"/>
    <x v="0"/>
    <x v="0"/>
    <x v="0"/>
    <x v="0"/>
  </r>
  <r>
    <x v="213"/>
    <x v="9"/>
    <x v="51"/>
    <x v="2"/>
    <x v="5"/>
    <x v="0"/>
    <x v="252"/>
    <x v="383"/>
    <x v="131"/>
    <x v="515"/>
    <x v="0"/>
    <x v="1"/>
    <x v="0"/>
    <x v="0"/>
    <x v="42"/>
    <x v="1"/>
    <x v="0"/>
    <x v="0"/>
    <x v="0"/>
    <x v="0"/>
    <x v="0"/>
    <x v="1"/>
    <x v="0"/>
    <x v="0"/>
  </r>
  <r>
    <x v="214"/>
    <x v="17"/>
    <x v="49"/>
    <x v="0"/>
    <x v="5"/>
    <x v="0"/>
    <x v="279"/>
    <x v="794"/>
    <x v="60"/>
    <x v="44"/>
    <x v="0"/>
    <x v="1"/>
    <x v="0"/>
    <x v="0"/>
    <x v="334"/>
    <x v="0"/>
    <x v="0"/>
    <x v="1"/>
    <x v="0"/>
    <x v="0"/>
    <x v="0"/>
    <x v="0"/>
    <x v="0"/>
    <x v="0"/>
  </r>
  <r>
    <x v="215"/>
    <x v="0"/>
    <x v="71"/>
    <x v="2"/>
    <x v="5"/>
    <x v="1"/>
    <x v="263"/>
    <x v="805"/>
    <x v="178"/>
    <x v="584"/>
    <x v="1"/>
    <x v="0"/>
    <x v="0"/>
    <x v="0"/>
    <x v="122"/>
    <x v="0"/>
    <x v="1"/>
    <x v="0"/>
    <x v="0"/>
    <x v="0"/>
    <x v="1"/>
    <x v="0"/>
    <x v="1"/>
    <x v="1"/>
  </r>
  <r>
    <x v="216"/>
    <x v="35"/>
    <x v="35"/>
    <x v="0"/>
    <x v="2"/>
    <x v="0"/>
    <x v="191"/>
    <x v="0"/>
    <x v="72"/>
    <x v="121"/>
    <x v="0"/>
    <x v="1"/>
    <x v="2"/>
    <x v="4"/>
    <x v="163"/>
    <x v="0"/>
    <x v="1"/>
    <x v="0"/>
    <x v="0"/>
    <x v="1"/>
    <x v="0"/>
    <x v="1"/>
    <x v="0"/>
    <x v="0"/>
  </r>
  <r>
    <x v="217"/>
    <x v="25"/>
    <x v="24"/>
    <x v="2"/>
    <x v="2"/>
    <x v="0"/>
    <x v="267"/>
    <x v="368"/>
    <x v="54"/>
    <x v="564"/>
    <x v="0"/>
    <x v="1"/>
    <x v="0"/>
    <x v="0"/>
    <x v="122"/>
    <x v="1"/>
    <x v="1"/>
    <x v="1"/>
    <x v="0"/>
    <x v="0"/>
    <x v="0"/>
    <x v="0"/>
    <x v="0"/>
    <x v="0"/>
  </r>
  <r>
    <x v="218"/>
    <x v="27"/>
    <x v="37"/>
    <x v="2"/>
    <x v="0"/>
    <x v="0"/>
    <x v="365"/>
    <x v="171"/>
    <x v="77"/>
    <x v="481"/>
    <x v="0"/>
    <x v="1"/>
    <x v="1"/>
    <x v="3"/>
    <x v="178"/>
    <x v="0"/>
    <x v="3"/>
    <x v="0"/>
    <x v="0"/>
    <x v="1"/>
    <x v="0"/>
    <x v="0"/>
    <x v="0"/>
    <x v="0"/>
  </r>
  <r>
    <x v="219"/>
    <x v="42"/>
    <x v="11"/>
    <x v="0"/>
    <x v="3"/>
    <x v="0"/>
    <x v="216"/>
    <x v="305"/>
    <x v="190"/>
    <x v="184"/>
    <x v="0"/>
    <x v="1"/>
    <x v="0"/>
    <x v="1"/>
    <x v="320"/>
    <x v="2"/>
    <x v="0"/>
    <x v="1"/>
    <x v="1"/>
    <x v="0"/>
    <x v="0"/>
    <x v="0"/>
    <x v="0"/>
    <x v="0"/>
  </r>
  <r>
    <x v="220"/>
    <x v="47"/>
    <x v="8"/>
    <x v="0"/>
    <x v="3"/>
    <x v="0"/>
    <x v="271"/>
    <x v="254"/>
    <x v="106"/>
    <x v="111"/>
    <x v="1"/>
    <x v="0"/>
    <x v="0"/>
    <x v="1"/>
    <x v="369"/>
    <x v="1"/>
    <x v="2"/>
    <x v="1"/>
    <x v="1"/>
    <x v="0"/>
    <x v="1"/>
    <x v="0"/>
    <x v="0"/>
    <x v="0"/>
  </r>
  <r>
    <x v="221"/>
    <x v="4"/>
    <x v="37"/>
    <x v="0"/>
    <x v="1"/>
    <x v="1"/>
    <x v="203"/>
    <x v="629"/>
    <x v="66"/>
    <x v="132"/>
    <x v="1"/>
    <x v="0"/>
    <x v="2"/>
    <x v="2"/>
    <x v="268"/>
    <x v="1"/>
    <x v="0"/>
    <x v="1"/>
    <x v="0"/>
    <x v="1"/>
    <x v="1"/>
    <x v="0"/>
    <x v="1"/>
    <x v="1"/>
  </r>
  <r>
    <x v="222"/>
    <x v="53"/>
    <x v="59"/>
    <x v="1"/>
    <x v="5"/>
    <x v="1"/>
    <x v="142"/>
    <x v="362"/>
    <x v="180"/>
    <x v="975"/>
    <x v="1"/>
    <x v="0"/>
    <x v="0"/>
    <x v="0"/>
    <x v="301"/>
    <x v="1"/>
    <x v="1"/>
    <x v="0"/>
    <x v="0"/>
    <x v="0"/>
    <x v="1"/>
    <x v="0"/>
    <x v="1"/>
    <x v="1"/>
  </r>
  <r>
    <x v="223"/>
    <x v="21"/>
    <x v="38"/>
    <x v="2"/>
    <x v="0"/>
    <x v="0"/>
    <x v="300"/>
    <x v="383"/>
    <x v="246"/>
    <x v="536"/>
    <x v="0"/>
    <x v="1"/>
    <x v="1"/>
    <x v="1"/>
    <x v="342"/>
    <x v="1"/>
    <x v="1"/>
    <x v="1"/>
    <x v="0"/>
    <x v="1"/>
    <x v="0"/>
    <x v="1"/>
    <x v="0"/>
    <x v="0"/>
  </r>
  <r>
    <x v="224"/>
    <x v="43"/>
    <x v="56"/>
    <x v="0"/>
    <x v="3"/>
    <x v="0"/>
    <x v="155"/>
    <x v="341"/>
    <x v="130"/>
    <x v="254"/>
    <x v="0"/>
    <x v="1"/>
    <x v="0"/>
    <x v="0"/>
    <x v="184"/>
    <x v="1"/>
    <x v="1"/>
    <x v="0"/>
    <x v="0"/>
    <x v="0"/>
    <x v="0"/>
    <x v="0"/>
    <x v="0"/>
    <x v="0"/>
  </r>
  <r>
    <x v="225"/>
    <x v="33"/>
    <x v="12"/>
    <x v="1"/>
    <x v="0"/>
    <x v="0"/>
    <x v="280"/>
    <x v="546"/>
    <x v="201"/>
    <x v="822"/>
    <x v="0"/>
    <x v="1"/>
    <x v="0"/>
    <x v="1"/>
    <x v="337"/>
    <x v="0"/>
    <x v="1"/>
    <x v="0"/>
    <x v="1"/>
    <x v="0"/>
    <x v="0"/>
    <x v="0"/>
    <x v="0"/>
    <x v="0"/>
  </r>
  <r>
    <x v="226"/>
    <x v="25"/>
    <x v="32"/>
    <x v="2"/>
    <x v="2"/>
    <x v="0"/>
    <x v="232"/>
    <x v="69"/>
    <x v="188"/>
    <x v="607"/>
    <x v="2"/>
    <x v="0"/>
    <x v="0"/>
    <x v="0"/>
    <x v="274"/>
    <x v="1"/>
    <x v="1"/>
    <x v="0"/>
    <x v="0"/>
    <x v="0"/>
    <x v="1"/>
    <x v="0"/>
    <x v="0"/>
    <x v="0"/>
  </r>
  <r>
    <x v="227"/>
    <x v="12"/>
    <x v="44"/>
    <x v="2"/>
    <x v="1"/>
    <x v="0"/>
    <x v="185"/>
    <x v="8"/>
    <x v="73"/>
    <x v="330"/>
    <x v="0"/>
    <x v="1"/>
    <x v="0"/>
    <x v="1"/>
    <x v="204"/>
    <x v="0"/>
    <x v="0"/>
    <x v="0"/>
    <x v="0"/>
    <x v="0"/>
    <x v="0"/>
    <x v="1"/>
    <x v="0"/>
    <x v="0"/>
  </r>
  <r>
    <x v="228"/>
    <x v="10"/>
    <x v="25"/>
    <x v="1"/>
    <x v="5"/>
    <x v="0"/>
    <x v="182"/>
    <x v="797"/>
    <x v="117"/>
    <x v="892"/>
    <x v="0"/>
    <x v="1"/>
    <x v="0"/>
    <x v="1"/>
    <x v="228"/>
    <x v="0"/>
    <x v="0"/>
    <x v="1"/>
    <x v="0"/>
    <x v="0"/>
    <x v="0"/>
    <x v="0"/>
    <x v="0"/>
    <x v="0"/>
  </r>
  <r>
    <x v="229"/>
    <x v="42"/>
    <x v="1"/>
    <x v="0"/>
    <x v="2"/>
    <x v="1"/>
    <x v="162"/>
    <x v="187"/>
    <x v="27"/>
    <x v="214"/>
    <x v="1"/>
    <x v="0"/>
    <x v="1"/>
    <x v="1"/>
    <x v="6"/>
    <x v="1"/>
    <x v="0"/>
    <x v="0"/>
    <x v="2"/>
    <x v="1"/>
    <x v="1"/>
    <x v="0"/>
    <x v="1"/>
    <x v="1"/>
  </r>
  <r>
    <x v="230"/>
    <x v="18"/>
    <x v="5"/>
    <x v="0"/>
    <x v="2"/>
    <x v="1"/>
    <x v="37"/>
    <x v="353"/>
    <x v="101"/>
    <x v="331"/>
    <x v="0"/>
    <x v="1"/>
    <x v="1"/>
    <x v="1"/>
    <x v="222"/>
    <x v="1"/>
    <x v="1"/>
    <x v="1"/>
    <x v="2"/>
    <x v="1"/>
    <x v="0"/>
    <x v="0"/>
    <x v="1"/>
    <x v="1"/>
  </r>
  <r>
    <x v="231"/>
    <x v="13"/>
    <x v="66"/>
    <x v="2"/>
    <x v="3"/>
    <x v="0"/>
    <x v="279"/>
    <x v="383"/>
    <x v="71"/>
    <x v="615"/>
    <x v="1"/>
    <x v="0"/>
    <x v="0"/>
    <x v="2"/>
    <x v="25"/>
    <x v="1"/>
    <x v="0"/>
    <x v="0"/>
    <x v="0"/>
    <x v="0"/>
    <x v="1"/>
    <x v="1"/>
    <x v="0"/>
    <x v="0"/>
  </r>
  <r>
    <x v="232"/>
    <x v="0"/>
    <x v="43"/>
    <x v="0"/>
    <x v="0"/>
    <x v="1"/>
    <x v="261"/>
    <x v="556"/>
    <x v="87"/>
    <x v="12"/>
    <x v="1"/>
    <x v="0"/>
    <x v="0"/>
    <x v="1"/>
    <x v="20"/>
    <x v="1"/>
    <x v="1"/>
    <x v="0"/>
    <x v="0"/>
    <x v="0"/>
    <x v="1"/>
    <x v="0"/>
    <x v="1"/>
    <x v="0"/>
  </r>
  <r>
    <x v="233"/>
    <x v="48"/>
    <x v="19"/>
    <x v="2"/>
    <x v="1"/>
    <x v="0"/>
    <x v="345"/>
    <x v="778"/>
    <x v="63"/>
    <x v="531"/>
    <x v="0"/>
    <x v="1"/>
    <x v="0"/>
    <x v="0"/>
    <x v="210"/>
    <x v="2"/>
    <x v="0"/>
    <x v="0"/>
    <x v="1"/>
    <x v="0"/>
    <x v="0"/>
    <x v="0"/>
    <x v="0"/>
    <x v="0"/>
  </r>
  <r>
    <x v="234"/>
    <x v="22"/>
    <x v="18"/>
    <x v="0"/>
    <x v="0"/>
    <x v="0"/>
    <x v="158"/>
    <x v="569"/>
    <x v="95"/>
    <x v="310"/>
    <x v="1"/>
    <x v="0"/>
    <x v="0"/>
    <x v="0"/>
    <x v="66"/>
    <x v="2"/>
    <x v="1"/>
    <x v="0"/>
    <x v="1"/>
    <x v="0"/>
    <x v="1"/>
    <x v="0"/>
    <x v="0"/>
    <x v="0"/>
  </r>
  <r>
    <x v="235"/>
    <x v="20"/>
    <x v="2"/>
    <x v="0"/>
    <x v="5"/>
    <x v="1"/>
    <x v="442"/>
    <x v="18"/>
    <x v="152"/>
    <x v="139"/>
    <x v="0"/>
    <x v="1"/>
    <x v="2"/>
    <x v="5"/>
    <x v="186"/>
    <x v="1"/>
    <x v="1"/>
    <x v="0"/>
    <x v="2"/>
    <x v="1"/>
    <x v="0"/>
    <x v="1"/>
    <x v="1"/>
    <x v="1"/>
  </r>
  <r>
    <x v="236"/>
    <x v="21"/>
    <x v="68"/>
    <x v="0"/>
    <x v="1"/>
    <x v="0"/>
    <x v="177"/>
    <x v="35"/>
    <x v="107"/>
    <x v="292"/>
    <x v="0"/>
    <x v="1"/>
    <x v="0"/>
    <x v="0"/>
    <x v="184"/>
    <x v="1"/>
    <x v="0"/>
    <x v="0"/>
    <x v="0"/>
    <x v="0"/>
    <x v="0"/>
    <x v="1"/>
    <x v="0"/>
    <x v="0"/>
  </r>
  <r>
    <x v="237"/>
    <x v="34"/>
    <x v="7"/>
    <x v="2"/>
    <x v="5"/>
    <x v="0"/>
    <x v="116"/>
    <x v="262"/>
    <x v="0"/>
    <x v="436"/>
    <x v="0"/>
    <x v="1"/>
    <x v="1"/>
    <x v="2"/>
    <x v="209"/>
    <x v="0"/>
    <x v="1"/>
    <x v="0"/>
    <x v="1"/>
    <x v="1"/>
    <x v="0"/>
    <x v="0"/>
    <x v="0"/>
    <x v="0"/>
  </r>
  <r>
    <x v="238"/>
    <x v="27"/>
    <x v="54"/>
    <x v="0"/>
    <x v="2"/>
    <x v="1"/>
    <x v="101"/>
    <x v="304"/>
    <x v="63"/>
    <x v="20"/>
    <x v="2"/>
    <x v="0"/>
    <x v="0"/>
    <x v="0"/>
    <x v="85"/>
    <x v="1"/>
    <x v="0"/>
    <x v="0"/>
    <x v="0"/>
    <x v="0"/>
    <x v="1"/>
    <x v="0"/>
    <x v="1"/>
    <x v="1"/>
  </r>
  <r>
    <x v="239"/>
    <x v="31"/>
    <x v="17"/>
    <x v="0"/>
    <x v="2"/>
    <x v="0"/>
    <x v="32"/>
    <x v="4"/>
    <x v="12"/>
    <x v="189"/>
    <x v="1"/>
    <x v="0"/>
    <x v="2"/>
    <x v="3"/>
    <x v="284"/>
    <x v="4"/>
    <x v="1"/>
    <x v="0"/>
    <x v="1"/>
    <x v="1"/>
    <x v="1"/>
    <x v="1"/>
    <x v="0"/>
    <x v="0"/>
  </r>
  <r>
    <x v="240"/>
    <x v="16"/>
    <x v="24"/>
    <x v="1"/>
    <x v="5"/>
    <x v="0"/>
    <x v="419"/>
    <x v="631"/>
    <x v="132"/>
    <x v="745"/>
    <x v="1"/>
    <x v="0"/>
    <x v="0"/>
    <x v="0"/>
    <x v="177"/>
    <x v="3"/>
    <x v="0"/>
    <x v="0"/>
    <x v="0"/>
    <x v="0"/>
    <x v="1"/>
    <x v="0"/>
    <x v="0"/>
    <x v="0"/>
  </r>
  <r>
    <x v="241"/>
    <x v="17"/>
    <x v="19"/>
    <x v="0"/>
    <x v="5"/>
    <x v="0"/>
    <x v="406"/>
    <x v="91"/>
    <x v="150"/>
    <x v="136"/>
    <x v="0"/>
    <x v="1"/>
    <x v="1"/>
    <x v="2"/>
    <x v="238"/>
    <x v="0"/>
    <x v="1"/>
    <x v="0"/>
    <x v="1"/>
    <x v="1"/>
    <x v="0"/>
    <x v="0"/>
    <x v="0"/>
    <x v="0"/>
  </r>
  <r>
    <x v="242"/>
    <x v="50"/>
    <x v="59"/>
    <x v="2"/>
    <x v="4"/>
    <x v="0"/>
    <x v="311"/>
    <x v="748"/>
    <x v="133"/>
    <x v="771"/>
    <x v="0"/>
    <x v="1"/>
    <x v="2"/>
    <x v="3"/>
    <x v="59"/>
    <x v="0"/>
    <x v="0"/>
    <x v="1"/>
    <x v="0"/>
    <x v="1"/>
    <x v="0"/>
    <x v="0"/>
    <x v="0"/>
    <x v="0"/>
  </r>
  <r>
    <x v="243"/>
    <x v="25"/>
    <x v="2"/>
    <x v="0"/>
    <x v="1"/>
    <x v="1"/>
    <x v="113"/>
    <x v="784"/>
    <x v="60"/>
    <x v="7"/>
    <x v="0"/>
    <x v="1"/>
    <x v="1"/>
    <x v="1"/>
    <x v="170"/>
    <x v="0"/>
    <x v="0"/>
    <x v="0"/>
    <x v="2"/>
    <x v="1"/>
    <x v="0"/>
    <x v="0"/>
    <x v="1"/>
    <x v="0"/>
  </r>
  <r>
    <x v="244"/>
    <x v="56"/>
    <x v="25"/>
    <x v="2"/>
    <x v="1"/>
    <x v="0"/>
    <x v="440"/>
    <x v="312"/>
    <x v="132"/>
    <x v="623"/>
    <x v="1"/>
    <x v="0"/>
    <x v="1"/>
    <x v="3"/>
    <x v="302"/>
    <x v="1"/>
    <x v="1"/>
    <x v="1"/>
    <x v="0"/>
    <x v="1"/>
    <x v="1"/>
    <x v="0"/>
    <x v="0"/>
    <x v="0"/>
  </r>
  <r>
    <x v="245"/>
    <x v="49"/>
    <x v="20"/>
    <x v="0"/>
    <x v="0"/>
    <x v="0"/>
    <x v="179"/>
    <x v="527"/>
    <x v="82"/>
    <x v="41"/>
    <x v="0"/>
    <x v="1"/>
    <x v="0"/>
    <x v="0"/>
    <x v="290"/>
    <x v="2"/>
    <x v="0"/>
    <x v="0"/>
    <x v="1"/>
    <x v="0"/>
    <x v="0"/>
    <x v="0"/>
    <x v="0"/>
    <x v="0"/>
  </r>
  <r>
    <x v="246"/>
    <x v="41"/>
    <x v="19"/>
    <x v="2"/>
    <x v="1"/>
    <x v="1"/>
    <x v="191"/>
    <x v="61"/>
    <x v="37"/>
    <x v="329"/>
    <x v="1"/>
    <x v="0"/>
    <x v="0"/>
    <x v="0"/>
    <x v="97"/>
    <x v="4"/>
    <x v="0"/>
    <x v="0"/>
    <x v="1"/>
    <x v="0"/>
    <x v="1"/>
    <x v="0"/>
    <x v="1"/>
    <x v="1"/>
  </r>
  <r>
    <x v="247"/>
    <x v="31"/>
    <x v="13"/>
    <x v="0"/>
    <x v="3"/>
    <x v="1"/>
    <x v="410"/>
    <x v="586"/>
    <x v="167"/>
    <x v="118"/>
    <x v="0"/>
    <x v="1"/>
    <x v="0"/>
    <x v="0"/>
    <x v="184"/>
    <x v="1"/>
    <x v="1"/>
    <x v="0"/>
    <x v="1"/>
    <x v="0"/>
    <x v="0"/>
    <x v="0"/>
    <x v="1"/>
    <x v="1"/>
  </r>
  <r>
    <x v="248"/>
    <x v="48"/>
    <x v="65"/>
    <x v="1"/>
    <x v="3"/>
    <x v="0"/>
    <x v="320"/>
    <x v="224"/>
    <x v="172"/>
    <x v="857"/>
    <x v="1"/>
    <x v="0"/>
    <x v="1"/>
    <x v="1"/>
    <x v="76"/>
    <x v="0"/>
    <x v="0"/>
    <x v="0"/>
    <x v="0"/>
    <x v="1"/>
    <x v="1"/>
    <x v="0"/>
    <x v="0"/>
    <x v="0"/>
  </r>
  <r>
    <x v="249"/>
    <x v="3"/>
    <x v="27"/>
    <x v="1"/>
    <x v="3"/>
    <x v="0"/>
    <x v="460"/>
    <x v="90"/>
    <x v="181"/>
    <x v="902"/>
    <x v="0"/>
    <x v="1"/>
    <x v="0"/>
    <x v="2"/>
    <x v="114"/>
    <x v="0"/>
    <x v="0"/>
    <x v="1"/>
    <x v="0"/>
    <x v="0"/>
    <x v="0"/>
    <x v="0"/>
    <x v="0"/>
    <x v="0"/>
  </r>
  <r>
    <x v="250"/>
    <x v="28"/>
    <x v="30"/>
    <x v="0"/>
    <x v="5"/>
    <x v="0"/>
    <x v="263"/>
    <x v="299"/>
    <x v="72"/>
    <x v="230"/>
    <x v="2"/>
    <x v="0"/>
    <x v="0"/>
    <x v="1"/>
    <x v="37"/>
    <x v="2"/>
    <x v="1"/>
    <x v="2"/>
    <x v="0"/>
    <x v="0"/>
    <x v="1"/>
    <x v="0"/>
    <x v="0"/>
    <x v="0"/>
  </r>
  <r>
    <x v="251"/>
    <x v="41"/>
    <x v="27"/>
    <x v="0"/>
    <x v="0"/>
    <x v="0"/>
    <x v="174"/>
    <x v="233"/>
    <x v="198"/>
    <x v="191"/>
    <x v="0"/>
    <x v="1"/>
    <x v="1"/>
    <x v="2"/>
    <x v="172"/>
    <x v="1"/>
    <x v="2"/>
    <x v="0"/>
    <x v="0"/>
    <x v="1"/>
    <x v="0"/>
    <x v="0"/>
    <x v="0"/>
    <x v="0"/>
  </r>
  <r>
    <x v="252"/>
    <x v="6"/>
    <x v="70"/>
    <x v="0"/>
    <x v="1"/>
    <x v="0"/>
    <x v="147"/>
    <x v="289"/>
    <x v="80"/>
    <x v="218"/>
    <x v="1"/>
    <x v="0"/>
    <x v="1"/>
    <x v="2"/>
    <x v="257"/>
    <x v="0"/>
    <x v="1"/>
    <x v="0"/>
    <x v="0"/>
    <x v="1"/>
    <x v="1"/>
    <x v="0"/>
    <x v="0"/>
    <x v="0"/>
  </r>
  <r>
    <x v="253"/>
    <x v="10"/>
    <x v="24"/>
    <x v="2"/>
    <x v="3"/>
    <x v="0"/>
    <x v="23"/>
    <x v="654"/>
    <x v="161"/>
    <x v="370"/>
    <x v="0"/>
    <x v="1"/>
    <x v="0"/>
    <x v="1"/>
    <x v="99"/>
    <x v="0"/>
    <x v="0"/>
    <x v="0"/>
    <x v="0"/>
    <x v="0"/>
    <x v="0"/>
    <x v="0"/>
    <x v="0"/>
    <x v="0"/>
  </r>
  <r>
    <x v="254"/>
    <x v="3"/>
    <x v="24"/>
    <x v="0"/>
    <x v="3"/>
    <x v="0"/>
    <x v="189"/>
    <x v="152"/>
    <x v="79"/>
    <x v="274"/>
    <x v="2"/>
    <x v="0"/>
    <x v="1"/>
    <x v="1"/>
    <x v="177"/>
    <x v="0"/>
    <x v="1"/>
    <x v="1"/>
    <x v="0"/>
    <x v="1"/>
    <x v="1"/>
    <x v="0"/>
    <x v="0"/>
    <x v="0"/>
  </r>
  <r>
    <x v="255"/>
    <x v="28"/>
    <x v="23"/>
    <x v="1"/>
    <x v="5"/>
    <x v="1"/>
    <x v="382"/>
    <x v="775"/>
    <x v="99"/>
    <x v="815"/>
    <x v="1"/>
    <x v="0"/>
    <x v="0"/>
    <x v="1"/>
    <x v="165"/>
    <x v="1"/>
    <x v="1"/>
    <x v="0"/>
    <x v="1"/>
    <x v="0"/>
    <x v="1"/>
    <x v="0"/>
    <x v="1"/>
    <x v="1"/>
  </r>
  <r>
    <x v="256"/>
    <x v="31"/>
    <x v="23"/>
    <x v="1"/>
    <x v="5"/>
    <x v="0"/>
    <x v="311"/>
    <x v="49"/>
    <x v="0"/>
    <x v="677"/>
    <x v="1"/>
    <x v="0"/>
    <x v="1"/>
    <x v="1"/>
    <x v="297"/>
    <x v="0"/>
    <x v="0"/>
    <x v="0"/>
    <x v="1"/>
    <x v="1"/>
    <x v="1"/>
    <x v="1"/>
    <x v="0"/>
    <x v="0"/>
  </r>
  <r>
    <x v="257"/>
    <x v="27"/>
    <x v="6"/>
    <x v="1"/>
    <x v="2"/>
    <x v="0"/>
    <x v="231"/>
    <x v="763"/>
    <x v="94"/>
    <x v="890"/>
    <x v="0"/>
    <x v="1"/>
    <x v="3"/>
    <x v="4"/>
    <x v="120"/>
    <x v="0"/>
    <x v="1"/>
    <x v="1"/>
    <x v="1"/>
    <x v="1"/>
    <x v="0"/>
    <x v="0"/>
    <x v="0"/>
    <x v="0"/>
  </r>
  <r>
    <x v="258"/>
    <x v="3"/>
    <x v="43"/>
    <x v="2"/>
    <x v="2"/>
    <x v="0"/>
    <x v="101"/>
    <x v="107"/>
    <x v="121"/>
    <x v="602"/>
    <x v="0"/>
    <x v="1"/>
    <x v="0"/>
    <x v="1"/>
    <x v="124"/>
    <x v="3"/>
    <x v="0"/>
    <x v="1"/>
    <x v="0"/>
    <x v="0"/>
    <x v="0"/>
    <x v="0"/>
    <x v="0"/>
    <x v="0"/>
  </r>
  <r>
    <x v="259"/>
    <x v="28"/>
    <x v="1"/>
    <x v="1"/>
    <x v="1"/>
    <x v="0"/>
    <x v="260"/>
    <x v="403"/>
    <x v="86"/>
    <x v="919"/>
    <x v="0"/>
    <x v="1"/>
    <x v="1"/>
    <x v="1"/>
    <x v="91"/>
    <x v="1"/>
    <x v="0"/>
    <x v="0"/>
    <x v="2"/>
    <x v="1"/>
    <x v="0"/>
    <x v="0"/>
    <x v="0"/>
    <x v="0"/>
  </r>
  <r>
    <x v="260"/>
    <x v="51"/>
    <x v="16"/>
    <x v="0"/>
    <x v="2"/>
    <x v="0"/>
    <x v="367"/>
    <x v="225"/>
    <x v="233"/>
    <x v="220"/>
    <x v="1"/>
    <x v="0"/>
    <x v="2"/>
    <x v="2"/>
    <x v="63"/>
    <x v="0"/>
    <x v="1"/>
    <x v="0"/>
    <x v="1"/>
    <x v="1"/>
    <x v="1"/>
    <x v="0"/>
    <x v="0"/>
    <x v="0"/>
  </r>
  <r>
    <x v="261"/>
    <x v="1"/>
    <x v="14"/>
    <x v="2"/>
    <x v="5"/>
    <x v="1"/>
    <x v="287"/>
    <x v="282"/>
    <x v="36"/>
    <x v="613"/>
    <x v="1"/>
    <x v="0"/>
    <x v="1"/>
    <x v="4"/>
    <x v="247"/>
    <x v="1"/>
    <x v="0"/>
    <x v="1"/>
    <x v="1"/>
    <x v="1"/>
    <x v="1"/>
    <x v="0"/>
    <x v="1"/>
    <x v="1"/>
  </r>
  <r>
    <x v="262"/>
    <x v="45"/>
    <x v="20"/>
    <x v="0"/>
    <x v="4"/>
    <x v="0"/>
    <x v="252"/>
    <x v="627"/>
    <x v="76"/>
    <x v="207"/>
    <x v="0"/>
    <x v="1"/>
    <x v="0"/>
    <x v="1"/>
    <x v="173"/>
    <x v="1"/>
    <x v="0"/>
    <x v="0"/>
    <x v="1"/>
    <x v="0"/>
    <x v="0"/>
    <x v="0"/>
    <x v="0"/>
    <x v="0"/>
  </r>
  <r>
    <x v="263"/>
    <x v="15"/>
    <x v="54"/>
    <x v="1"/>
    <x v="2"/>
    <x v="0"/>
    <x v="126"/>
    <x v="750"/>
    <x v="53"/>
    <x v="917"/>
    <x v="1"/>
    <x v="0"/>
    <x v="0"/>
    <x v="1"/>
    <x v="194"/>
    <x v="0"/>
    <x v="0"/>
    <x v="0"/>
    <x v="0"/>
    <x v="0"/>
    <x v="1"/>
    <x v="0"/>
    <x v="0"/>
    <x v="0"/>
  </r>
  <r>
    <x v="264"/>
    <x v="4"/>
    <x v="43"/>
    <x v="2"/>
    <x v="0"/>
    <x v="1"/>
    <x v="347"/>
    <x v="700"/>
    <x v="76"/>
    <x v="596"/>
    <x v="0"/>
    <x v="1"/>
    <x v="1"/>
    <x v="1"/>
    <x v="316"/>
    <x v="1"/>
    <x v="0"/>
    <x v="0"/>
    <x v="0"/>
    <x v="1"/>
    <x v="0"/>
    <x v="0"/>
    <x v="1"/>
    <x v="1"/>
  </r>
  <r>
    <x v="265"/>
    <x v="2"/>
    <x v="71"/>
    <x v="1"/>
    <x v="2"/>
    <x v="0"/>
    <x v="0"/>
    <x v="259"/>
    <x v="187"/>
    <x v="809"/>
    <x v="0"/>
    <x v="1"/>
    <x v="0"/>
    <x v="0"/>
    <x v="322"/>
    <x v="0"/>
    <x v="1"/>
    <x v="0"/>
    <x v="0"/>
    <x v="0"/>
    <x v="0"/>
    <x v="0"/>
    <x v="0"/>
    <x v="0"/>
  </r>
  <r>
    <x v="266"/>
    <x v="0"/>
    <x v="25"/>
    <x v="0"/>
    <x v="3"/>
    <x v="1"/>
    <x v="279"/>
    <x v="464"/>
    <x v="217"/>
    <x v="152"/>
    <x v="0"/>
    <x v="1"/>
    <x v="2"/>
    <x v="3"/>
    <x v="18"/>
    <x v="2"/>
    <x v="1"/>
    <x v="0"/>
    <x v="0"/>
    <x v="1"/>
    <x v="0"/>
    <x v="0"/>
    <x v="1"/>
    <x v="1"/>
  </r>
  <r>
    <x v="267"/>
    <x v="24"/>
    <x v="66"/>
    <x v="1"/>
    <x v="2"/>
    <x v="0"/>
    <x v="469"/>
    <x v="153"/>
    <x v="66"/>
    <x v="773"/>
    <x v="0"/>
    <x v="1"/>
    <x v="2"/>
    <x v="2"/>
    <x v="259"/>
    <x v="0"/>
    <x v="0"/>
    <x v="0"/>
    <x v="0"/>
    <x v="1"/>
    <x v="0"/>
    <x v="0"/>
    <x v="0"/>
    <x v="0"/>
  </r>
  <r>
    <x v="268"/>
    <x v="28"/>
    <x v="3"/>
    <x v="2"/>
    <x v="2"/>
    <x v="0"/>
    <x v="47"/>
    <x v="114"/>
    <x v="64"/>
    <x v="408"/>
    <x v="0"/>
    <x v="1"/>
    <x v="0"/>
    <x v="2"/>
    <x v="214"/>
    <x v="0"/>
    <x v="0"/>
    <x v="1"/>
    <x v="2"/>
    <x v="0"/>
    <x v="0"/>
    <x v="0"/>
    <x v="0"/>
    <x v="0"/>
  </r>
  <r>
    <x v="269"/>
    <x v="36"/>
    <x v="36"/>
    <x v="2"/>
    <x v="2"/>
    <x v="0"/>
    <x v="195"/>
    <x v="76"/>
    <x v="36"/>
    <x v="398"/>
    <x v="0"/>
    <x v="1"/>
    <x v="1"/>
    <x v="1"/>
    <x v="137"/>
    <x v="0"/>
    <x v="0"/>
    <x v="1"/>
    <x v="0"/>
    <x v="1"/>
    <x v="0"/>
    <x v="0"/>
    <x v="0"/>
    <x v="0"/>
  </r>
  <r>
    <x v="270"/>
    <x v="4"/>
    <x v="57"/>
    <x v="1"/>
    <x v="2"/>
    <x v="0"/>
    <x v="228"/>
    <x v="247"/>
    <x v="206"/>
    <x v="940"/>
    <x v="0"/>
    <x v="1"/>
    <x v="1"/>
    <x v="2"/>
    <x v="226"/>
    <x v="0"/>
    <x v="1"/>
    <x v="2"/>
    <x v="0"/>
    <x v="1"/>
    <x v="0"/>
    <x v="0"/>
    <x v="0"/>
    <x v="0"/>
  </r>
  <r>
    <x v="271"/>
    <x v="37"/>
    <x v="38"/>
    <x v="2"/>
    <x v="2"/>
    <x v="0"/>
    <x v="168"/>
    <x v="488"/>
    <x v="193"/>
    <x v="589"/>
    <x v="0"/>
    <x v="1"/>
    <x v="0"/>
    <x v="0"/>
    <x v="12"/>
    <x v="0"/>
    <x v="1"/>
    <x v="0"/>
    <x v="0"/>
    <x v="0"/>
    <x v="0"/>
    <x v="0"/>
    <x v="0"/>
    <x v="0"/>
  </r>
  <r>
    <x v="272"/>
    <x v="42"/>
    <x v="67"/>
    <x v="2"/>
    <x v="2"/>
    <x v="1"/>
    <x v="370"/>
    <x v="383"/>
    <x v="108"/>
    <x v="593"/>
    <x v="0"/>
    <x v="1"/>
    <x v="1"/>
    <x v="1"/>
    <x v="331"/>
    <x v="4"/>
    <x v="2"/>
    <x v="0"/>
    <x v="0"/>
    <x v="1"/>
    <x v="0"/>
    <x v="1"/>
    <x v="1"/>
    <x v="1"/>
  </r>
  <r>
    <x v="273"/>
    <x v="3"/>
    <x v="22"/>
    <x v="2"/>
    <x v="1"/>
    <x v="0"/>
    <x v="293"/>
    <x v="387"/>
    <x v="20"/>
    <x v="556"/>
    <x v="0"/>
    <x v="1"/>
    <x v="0"/>
    <x v="0"/>
    <x v="184"/>
    <x v="4"/>
    <x v="2"/>
    <x v="1"/>
    <x v="1"/>
    <x v="0"/>
    <x v="0"/>
    <x v="0"/>
    <x v="0"/>
    <x v="0"/>
  </r>
  <r>
    <x v="274"/>
    <x v="39"/>
    <x v="2"/>
    <x v="0"/>
    <x v="5"/>
    <x v="1"/>
    <x v="250"/>
    <x v="751"/>
    <x v="26"/>
    <x v="193"/>
    <x v="1"/>
    <x v="0"/>
    <x v="1"/>
    <x v="1"/>
    <x v="89"/>
    <x v="1"/>
    <x v="0"/>
    <x v="0"/>
    <x v="2"/>
    <x v="1"/>
    <x v="1"/>
    <x v="0"/>
    <x v="1"/>
    <x v="1"/>
  </r>
  <r>
    <x v="275"/>
    <x v="6"/>
    <x v="55"/>
    <x v="0"/>
    <x v="3"/>
    <x v="0"/>
    <x v="339"/>
    <x v="687"/>
    <x v="127"/>
    <x v="317"/>
    <x v="0"/>
    <x v="1"/>
    <x v="2"/>
    <x v="2"/>
    <x v="123"/>
    <x v="0"/>
    <x v="0"/>
    <x v="0"/>
    <x v="0"/>
    <x v="1"/>
    <x v="0"/>
    <x v="0"/>
    <x v="0"/>
    <x v="0"/>
  </r>
  <r>
    <x v="276"/>
    <x v="25"/>
    <x v="4"/>
    <x v="0"/>
    <x v="3"/>
    <x v="0"/>
    <x v="231"/>
    <x v="203"/>
    <x v="153"/>
    <x v="14"/>
    <x v="0"/>
    <x v="1"/>
    <x v="0"/>
    <x v="0"/>
    <x v="14"/>
    <x v="1"/>
    <x v="1"/>
    <x v="0"/>
    <x v="2"/>
    <x v="0"/>
    <x v="0"/>
    <x v="0"/>
    <x v="0"/>
    <x v="0"/>
  </r>
  <r>
    <x v="277"/>
    <x v="38"/>
    <x v="55"/>
    <x v="0"/>
    <x v="1"/>
    <x v="0"/>
    <x v="472"/>
    <x v="34"/>
    <x v="0"/>
    <x v="196"/>
    <x v="2"/>
    <x v="0"/>
    <x v="2"/>
    <x v="3"/>
    <x v="153"/>
    <x v="0"/>
    <x v="1"/>
    <x v="0"/>
    <x v="0"/>
    <x v="1"/>
    <x v="1"/>
    <x v="1"/>
    <x v="0"/>
    <x v="0"/>
  </r>
  <r>
    <x v="278"/>
    <x v="50"/>
    <x v="52"/>
    <x v="1"/>
    <x v="0"/>
    <x v="0"/>
    <x v="250"/>
    <x v="531"/>
    <x v="93"/>
    <x v="887"/>
    <x v="1"/>
    <x v="0"/>
    <x v="1"/>
    <x v="1"/>
    <x v="134"/>
    <x v="0"/>
    <x v="1"/>
    <x v="1"/>
    <x v="0"/>
    <x v="1"/>
    <x v="1"/>
    <x v="0"/>
    <x v="0"/>
    <x v="0"/>
  </r>
  <r>
    <x v="279"/>
    <x v="30"/>
    <x v="60"/>
    <x v="2"/>
    <x v="0"/>
    <x v="0"/>
    <x v="256"/>
    <x v="0"/>
    <x v="225"/>
    <x v="688"/>
    <x v="1"/>
    <x v="0"/>
    <x v="0"/>
    <x v="0"/>
    <x v="45"/>
    <x v="0"/>
    <x v="1"/>
    <x v="1"/>
    <x v="0"/>
    <x v="0"/>
    <x v="1"/>
    <x v="1"/>
    <x v="0"/>
    <x v="0"/>
  </r>
  <r>
    <x v="280"/>
    <x v="25"/>
    <x v="34"/>
    <x v="2"/>
    <x v="2"/>
    <x v="0"/>
    <x v="33"/>
    <x v="686"/>
    <x v="100"/>
    <x v="546"/>
    <x v="3"/>
    <x v="0"/>
    <x v="1"/>
    <x v="3"/>
    <x v="272"/>
    <x v="2"/>
    <x v="0"/>
    <x v="1"/>
    <x v="0"/>
    <x v="1"/>
    <x v="1"/>
    <x v="0"/>
    <x v="0"/>
    <x v="0"/>
  </r>
  <r>
    <x v="281"/>
    <x v="48"/>
    <x v="64"/>
    <x v="2"/>
    <x v="2"/>
    <x v="0"/>
    <x v="156"/>
    <x v="326"/>
    <x v="218"/>
    <x v="618"/>
    <x v="1"/>
    <x v="0"/>
    <x v="0"/>
    <x v="1"/>
    <x v="316"/>
    <x v="1"/>
    <x v="1"/>
    <x v="0"/>
    <x v="0"/>
    <x v="0"/>
    <x v="1"/>
    <x v="0"/>
    <x v="0"/>
    <x v="0"/>
  </r>
  <r>
    <x v="282"/>
    <x v="12"/>
    <x v="12"/>
    <x v="2"/>
    <x v="3"/>
    <x v="0"/>
    <x v="382"/>
    <x v="785"/>
    <x v="160"/>
    <x v="557"/>
    <x v="0"/>
    <x v="1"/>
    <x v="1"/>
    <x v="2"/>
    <x v="184"/>
    <x v="2"/>
    <x v="0"/>
    <x v="4"/>
    <x v="1"/>
    <x v="1"/>
    <x v="0"/>
    <x v="0"/>
    <x v="0"/>
    <x v="0"/>
  </r>
  <r>
    <x v="283"/>
    <x v="11"/>
    <x v="31"/>
    <x v="2"/>
    <x v="3"/>
    <x v="0"/>
    <x v="65"/>
    <x v="3"/>
    <x v="41"/>
    <x v="551"/>
    <x v="0"/>
    <x v="1"/>
    <x v="2"/>
    <x v="2"/>
    <x v="154"/>
    <x v="1"/>
    <x v="2"/>
    <x v="0"/>
    <x v="0"/>
    <x v="1"/>
    <x v="0"/>
    <x v="1"/>
    <x v="0"/>
    <x v="0"/>
  </r>
  <r>
    <x v="284"/>
    <x v="27"/>
    <x v="8"/>
    <x v="1"/>
    <x v="1"/>
    <x v="0"/>
    <x v="8"/>
    <x v="648"/>
    <x v="95"/>
    <x v="854"/>
    <x v="0"/>
    <x v="1"/>
    <x v="0"/>
    <x v="0"/>
    <x v="237"/>
    <x v="3"/>
    <x v="1"/>
    <x v="0"/>
    <x v="1"/>
    <x v="0"/>
    <x v="0"/>
    <x v="0"/>
    <x v="0"/>
    <x v="0"/>
  </r>
  <r>
    <x v="285"/>
    <x v="6"/>
    <x v="55"/>
    <x v="1"/>
    <x v="3"/>
    <x v="0"/>
    <x v="233"/>
    <x v="367"/>
    <x v="106"/>
    <x v="840"/>
    <x v="1"/>
    <x v="0"/>
    <x v="0"/>
    <x v="0"/>
    <x v="185"/>
    <x v="3"/>
    <x v="0"/>
    <x v="3"/>
    <x v="0"/>
    <x v="0"/>
    <x v="1"/>
    <x v="0"/>
    <x v="0"/>
    <x v="0"/>
  </r>
  <r>
    <x v="286"/>
    <x v="1"/>
    <x v="51"/>
    <x v="2"/>
    <x v="2"/>
    <x v="1"/>
    <x v="406"/>
    <x v="383"/>
    <x v="50"/>
    <x v="784"/>
    <x v="0"/>
    <x v="1"/>
    <x v="2"/>
    <x v="2"/>
    <x v="70"/>
    <x v="1"/>
    <x v="1"/>
    <x v="0"/>
    <x v="0"/>
    <x v="1"/>
    <x v="0"/>
    <x v="1"/>
    <x v="1"/>
    <x v="1"/>
  </r>
  <r>
    <x v="287"/>
    <x v="20"/>
    <x v="58"/>
    <x v="0"/>
    <x v="3"/>
    <x v="0"/>
    <x v="234"/>
    <x v="39"/>
    <x v="49"/>
    <x v="101"/>
    <x v="0"/>
    <x v="1"/>
    <x v="0"/>
    <x v="1"/>
    <x v="115"/>
    <x v="0"/>
    <x v="0"/>
    <x v="0"/>
    <x v="0"/>
    <x v="0"/>
    <x v="0"/>
    <x v="1"/>
    <x v="0"/>
    <x v="0"/>
  </r>
  <r>
    <x v="288"/>
    <x v="8"/>
    <x v="55"/>
    <x v="2"/>
    <x v="1"/>
    <x v="0"/>
    <x v="181"/>
    <x v="575"/>
    <x v="219"/>
    <x v="526"/>
    <x v="1"/>
    <x v="0"/>
    <x v="0"/>
    <x v="0"/>
    <x v="155"/>
    <x v="1"/>
    <x v="0"/>
    <x v="0"/>
    <x v="0"/>
    <x v="0"/>
    <x v="1"/>
    <x v="0"/>
    <x v="0"/>
    <x v="0"/>
  </r>
  <r>
    <x v="289"/>
    <x v="36"/>
    <x v="22"/>
    <x v="2"/>
    <x v="2"/>
    <x v="0"/>
    <x v="21"/>
    <x v="601"/>
    <x v="49"/>
    <x v="437"/>
    <x v="1"/>
    <x v="0"/>
    <x v="0"/>
    <x v="2"/>
    <x v="217"/>
    <x v="0"/>
    <x v="1"/>
    <x v="0"/>
    <x v="1"/>
    <x v="0"/>
    <x v="1"/>
    <x v="0"/>
    <x v="0"/>
    <x v="0"/>
  </r>
  <r>
    <x v="290"/>
    <x v="31"/>
    <x v="4"/>
    <x v="2"/>
    <x v="5"/>
    <x v="1"/>
    <x v="290"/>
    <x v="781"/>
    <x v="190"/>
    <x v="431"/>
    <x v="1"/>
    <x v="0"/>
    <x v="1"/>
    <x v="2"/>
    <x v="188"/>
    <x v="3"/>
    <x v="0"/>
    <x v="1"/>
    <x v="2"/>
    <x v="1"/>
    <x v="1"/>
    <x v="0"/>
    <x v="1"/>
    <x v="0"/>
  </r>
  <r>
    <x v="291"/>
    <x v="28"/>
    <x v="66"/>
    <x v="2"/>
    <x v="2"/>
    <x v="1"/>
    <x v="320"/>
    <x v="663"/>
    <x v="84"/>
    <x v="708"/>
    <x v="0"/>
    <x v="1"/>
    <x v="1"/>
    <x v="1"/>
    <x v="212"/>
    <x v="2"/>
    <x v="2"/>
    <x v="1"/>
    <x v="0"/>
    <x v="1"/>
    <x v="0"/>
    <x v="0"/>
    <x v="1"/>
    <x v="1"/>
  </r>
  <r>
    <x v="292"/>
    <x v="28"/>
    <x v="35"/>
    <x v="2"/>
    <x v="0"/>
    <x v="0"/>
    <x v="29"/>
    <x v="199"/>
    <x v="113"/>
    <x v="414"/>
    <x v="0"/>
    <x v="1"/>
    <x v="0"/>
    <x v="0"/>
    <x v="26"/>
    <x v="0"/>
    <x v="1"/>
    <x v="0"/>
    <x v="0"/>
    <x v="0"/>
    <x v="0"/>
    <x v="0"/>
    <x v="0"/>
    <x v="0"/>
  </r>
  <r>
    <x v="293"/>
    <x v="5"/>
    <x v="6"/>
    <x v="0"/>
    <x v="2"/>
    <x v="1"/>
    <x v="380"/>
    <x v="113"/>
    <x v="154"/>
    <x v="321"/>
    <x v="0"/>
    <x v="1"/>
    <x v="1"/>
    <x v="1"/>
    <x v="261"/>
    <x v="1"/>
    <x v="0"/>
    <x v="1"/>
    <x v="1"/>
    <x v="1"/>
    <x v="0"/>
    <x v="0"/>
    <x v="1"/>
    <x v="1"/>
  </r>
  <r>
    <x v="294"/>
    <x v="23"/>
    <x v="66"/>
    <x v="0"/>
    <x v="5"/>
    <x v="0"/>
    <x v="334"/>
    <x v="40"/>
    <x v="73"/>
    <x v="56"/>
    <x v="0"/>
    <x v="1"/>
    <x v="1"/>
    <x v="2"/>
    <x v="187"/>
    <x v="1"/>
    <x v="0"/>
    <x v="1"/>
    <x v="0"/>
    <x v="1"/>
    <x v="0"/>
    <x v="1"/>
    <x v="0"/>
    <x v="0"/>
  </r>
  <r>
    <x v="295"/>
    <x v="4"/>
    <x v="71"/>
    <x v="2"/>
    <x v="0"/>
    <x v="0"/>
    <x v="380"/>
    <x v="383"/>
    <x v="155"/>
    <x v="409"/>
    <x v="0"/>
    <x v="1"/>
    <x v="1"/>
    <x v="2"/>
    <x v="370"/>
    <x v="0"/>
    <x v="0"/>
    <x v="0"/>
    <x v="0"/>
    <x v="1"/>
    <x v="0"/>
    <x v="1"/>
    <x v="0"/>
    <x v="0"/>
  </r>
  <r>
    <x v="296"/>
    <x v="20"/>
    <x v="32"/>
    <x v="0"/>
    <x v="0"/>
    <x v="0"/>
    <x v="309"/>
    <x v="154"/>
    <x v="0"/>
    <x v="59"/>
    <x v="0"/>
    <x v="1"/>
    <x v="2"/>
    <x v="3"/>
    <x v="145"/>
    <x v="0"/>
    <x v="1"/>
    <x v="0"/>
    <x v="0"/>
    <x v="1"/>
    <x v="0"/>
    <x v="0"/>
    <x v="0"/>
    <x v="0"/>
  </r>
  <r>
    <x v="297"/>
    <x v="39"/>
    <x v="55"/>
    <x v="0"/>
    <x v="5"/>
    <x v="0"/>
    <x v="319"/>
    <x v="745"/>
    <x v="146"/>
    <x v="11"/>
    <x v="0"/>
    <x v="1"/>
    <x v="1"/>
    <x v="2"/>
    <x v="226"/>
    <x v="1"/>
    <x v="1"/>
    <x v="0"/>
    <x v="0"/>
    <x v="1"/>
    <x v="0"/>
    <x v="0"/>
    <x v="0"/>
    <x v="0"/>
  </r>
  <r>
    <x v="298"/>
    <x v="57"/>
    <x v="2"/>
    <x v="2"/>
    <x v="5"/>
    <x v="0"/>
    <x v="300"/>
    <x v="551"/>
    <x v="0"/>
    <x v="783"/>
    <x v="0"/>
    <x v="1"/>
    <x v="0"/>
    <x v="2"/>
    <x v="374"/>
    <x v="1"/>
    <x v="0"/>
    <x v="2"/>
    <x v="2"/>
    <x v="0"/>
    <x v="0"/>
    <x v="0"/>
    <x v="0"/>
    <x v="0"/>
  </r>
  <r>
    <x v="299"/>
    <x v="17"/>
    <x v="6"/>
    <x v="2"/>
    <x v="5"/>
    <x v="0"/>
    <x v="347"/>
    <x v="497"/>
    <x v="99"/>
    <x v="449"/>
    <x v="0"/>
    <x v="1"/>
    <x v="0"/>
    <x v="0"/>
    <x v="210"/>
    <x v="1"/>
    <x v="0"/>
    <x v="0"/>
    <x v="1"/>
    <x v="0"/>
    <x v="0"/>
    <x v="0"/>
    <x v="0"/>
    <x v="0"/>
  </r>
  <r>
    <x v="300"/>
    <x v="15"/>
    <x v="19"/>
    <x v="0"/>
    <x v="5"/>
    <x v="0"/>
    <x v="26"/>
    <x v="293"/>
    <x v="175"/>
    <x v="297"/>
    <x v="1"/>
    <x v="0"/>
    <x v="0"/>
    <x v="0"/>
    <x v="184"/>
    <x v="1"/>
    <x v="0"/>
    <x v="1"/>
    <x v="1"/>
    <x v="0"/>
    <x v="1"/>
    <x v="0"/>
    <x v="0"/>
    <x v="0"/>
  </r>
  <r>
    <x v="301"/>
    <x v="38"/>
    <x v="47"/>
    <x v="2"/>
    <x v="2"/>
    <x v="0"/>
    <x v="48"/>
    <x v="595"/>
    <x v="159"/>
    <x v="647"/>
    <x v="0"/>
    <x v="1"/>
    <x v="3"/>
    <x v="3"/>
    <x v="77"/>
    <x v="0"/>
    <x v="2"/>
    <x v="0"/>
    <x v="0"/>
    <x v="1"/>
    <x v="0"/>
    <x v="0"/>
    <x v="0"/>
    <x v="0"/>
  </r>
  <r>
    <x v="302"/>
    <x v="53"/>
    <x v="9"/>
    <x v="1"/>
    <x v="1"/>
    <x v="0"/>
    <x v="132"/>
    <x v="399"/>
    <x v="26"/>
    <x v="756"/>
    <x v="1"/>
    <x v="0"/>
    <x v="1"/>
    <x v="4"/>
    <x v="335"/>
    <x v="1"/>
    <x v="1"/>
    <x v="2"/>
    <x v="1"/>
    <x v="1"/>
    <x v="1"/>
    <x v="0"/>
    <x v="0"/>
    <x v="0"/>
  </r>
  <r>
    <x v="303"/>
    <x v="17"/>
    <x v="2"/>
    <x v="0"/>
    <x v="1"/>
    <x v="1"/>
    <x v="212"/>
    <x v="272"/>
    <x v="35"/>
    <x v="256"/>
    <x v="0"/>
    <x v="1"/>
    <x v="0"/>
    <x v="0"/>
    <x v="61"/>
    <x v="1"/>
    <x v="0"/>
    <x v="1"/>
    <x v="2"/>
    <x v="0"/>
    <x v="0"/>
    <x v="0"/>
    <x v="1"/>
    <x v="0"/>
  </r>
  <r>
    <x v="304"/>
    <x v="48"/>
    <x v="48"/>
    <x v="1"/>
    <x v="0"/>
    <x v="0"/>
    <x v="280"/>
    <x v="604"/>
    <x v="67"/>
    <x v="939"/>
    <x v="0"/>
    <x v="1"/>
    <x v="0"/>
    <x v="0"/>
    <x v="236"/>
    <x v="0"/>
    <x v="0"/>
    <x v="0"/>
    <x v="0"/>
    <x v="0"/>
    <x v="0"/>
    <x v="0"/>
    <x v="0"/>
    <x v="0"/>
  </r>
  <r>
    <x v="305"/>
    <x v="18"/>
    <x v="55"/>
    <x v="1"/>
    <x v="1"/>
    <x v="0"/>
    <x v="272"/>
    <x v="350"/>
    <x v="128"/>
    <x v="888"/>
    <x v="0"/>
    <x v="1"/>
    <x v="3"/>
    <x v="5"/>
    <x v="135"/>
    <x v="0"/>
    <x v="1"/>
    <x v="0"/>
    <x v="0"/>
    <x v="1"/>
    <x v="0"/>
    <x v="0"/>
    <x v="0"/>
    <x v="0"/>
  </r>
  <r>
    <x v="306"/>
    <x v="37"/>
    <x v="53"/>
    <x v="2"/>
    <x v="3"/>
    <x v="0"/>
    <x v="378"/>
    <x v="147"/>
    <x v="0"/>
    <x v="476"/>
    <x v="0"/>
    <x v="1"/>
    <x v="0"/>
    <x v="0"/>
    <x v="168"/>
    <x v="2"/>
    <x v="0"/>
    <x v="0"/>
    <x v="0"/>
    <x v="0"/>
    <x v="0"/>
    <x v="0"/>
    <x v="0"/>
    <x v="0"/>
  </r>
  <r>
    <x v="307"/>
    <x v="12"/>
    <x v="57"/>
    <x v="2"/>
    <x v="5"/>
    <x v="0"/>
    <x v="382"/>
    <x v="576"/>
    <x v="114"/>
    <x v="630"/>
    <x v="0"/>
    <x v="1"/>
    <x v="1"/>
    <x v="1"/>
    <x v="34"/>
    <x v="1"/>
    <x v="1"/>
    <x v="0"/>
    <x v="0"/>
    <x v="1"/>
    <x v="0"/>
    <x v="0"/>
    <x v="0"/>
    <x v="0"/>
  </r>
  <r>
    <x v="308"/>
    <x v="15"/>
    <x v="57"/>
    <x v="0"/>
    <x v="3"/>
    <x v="0"/>
    <x v="116"/>
    <x v="380"/>
    <x v="137"/>
    <x v="299"/>
    <x v="0"/>
    <x v="1"/>
    <x v="1"/>
    <x v="1"/>
    <x v="323"/>
    <x v="3"/>
    <x v="0"/>
    <x v="0"/>
    <x v="0"/>
    <x v="1"/>
    <x v="0"/>
    <x v="0"/>
    <x v="0"/>
    <x v="0"/>
  </r>
  <r>
    <x v="309"/>
    <x v="57"/>
    <x v="43"/>
    <x v="1"/>
    <x v="2"/>
    <x v="0"/>
    <x v="262"/>
    <x v="541"/>
    <x v="95"/>
    <x v="805"/>
    <x v="0"/>
    <x v="1"/>
    <x v="0"/>
    <x v="2"/>
    <x v="158"/>
    <x v="2"/>
    <x v="0"/>
    <x v="0"/>
    <x v="0"/>
    <x v="0"/>
    <x v="0"/>
    <x v="0"/>
    <x v="0"/>
    <x v="0"/>
  </r>
  <r>
    <x v="310"/>
    <x v="22"/>
    <x v="37"/>
    <x v="2"/>
    <x v="1"/>
    <x v="0"/>
    <x v="120"/>
    <x v="238"/>
    <x v="152"/>
    <x v="473"/>
    <x v="1"/>
    <x v="0"/>
    <x v="3"/>
    <x v="3"/>
    <x v="57"/>
    <x v="0"/>
    <x v="0"/>
    <x v="0"/>
    <x v="0"/>
    <x v="1"/>
    <x v="1"/>
    <x v="0"/>
    <x v="0"/>
    <x v="0"/>
  </r>
  <r>
    <x v="311"/>
    <x v="0"/>
    <x v="61"/>
    <x v="1"/>
    <x v="3"/>
    <x v="0"/>
    <x v="203"/>
    <x v="67"/>
    <x v="131"/>
    <x v="938"/>
    <x v="0"/>
    <x v="1"/>
    <x v="0"/>
    <x v="0"/>
    <x v="314"/>
    <x v="3"/>
    <x v="0"/>
    <x v="1"/>
    <x v="0"/>
    <x v="0"/>
    <x v="0"/>
    <x v="0"/>
    <x v="0"/>
    <x v="0"/>
  </r>
  <r>
    <x v="312"/>
    <x v="44"/>
    <x v="25"/>
    <x v="2"/>
    <x v="3"/>
    <x v="0"/>
    <x v="271"/>
    <x v="775"/>
    <x v="77"/>
    <x v="582"/>
    <x v="0"/>
    <x v="1"/>
    <x v="2"/>
    <x v="3"/>
    <x v="132"/>
    <x v="2"/>
    <x v="2"/>
    <x v="0"/>
    <x v="0"/>
    <x v="1"/>
    <x v="0"/>
    <x v="0"/>
    <x v="0"/>
    <x v="0"/>
  </r>
  <r>
    <x v="313"/>
    <x v="7"/>
    <x v="7"/>
    <x v="0"/>
    <x v="3"/>
    <x v="0"/>
    <x v="0"/>
    <x v="757"/>
    <x v="0"/>
    <x v="276"/>
    <x v="1"/>
    <x v="0"/>
    <x v="1"/>
    <x v="1"/>
    <x v="227"/>
    <x v="0"/>
    <x v="2"/>
    <x v="0"/>
    <x v="1"/>
    <x v="1"/>
    <x v="1"/>
    <x v="0"/>
    <x v="0"/>
    <x v="0"/>
  </r>
  <r>
    <x v="314"/>
    <x v="6"/>
    <x v="54"/>
    <x v="0"/>
    <x v="3"/>
    <x v="1"/>
    <x v="462"/>
    <x v="642"/>
    <x v="124"/>
    <x v="74"/>
    <x v="1"/>
    <x v="0"/>
    <x v="0"/>
    <x v="0"/>
    <x v="279"/>
    <x v="0"/>
    <x v="2"/>
    <x v="1"/>
    <x v="0"/>
    <x v="0"/>
    <x v="1"/>
    <x v="0"/>
    <x v="1"/>
    <x v="0"/>
  </r>
  <r>
    <x v="315"/>
    <x v="48"/>
    <x v="19"/>
    <x v="2"/>
    <x v="3"/>
    <x v="0"/>
    <x v="307"/>
    <x v="267"/>
    <x v="50"/>
    <x v="631"/>
    <x v="0"/>
    <x v="1"/>
    <x v="2"/>
    <x v="4"/>
    <x v="241"/>
    <x v="0"/>
    <x v="0"/>
    <x v="0"/>
    <x v="1"/>
    <x v="1"/>
    <x v="0"/>
    <x v="0"/>
    <x v="0"/>
    <x v="0"/>
  </r>
  <r>
    <x v="316"/>
    <x v="20"/>
    <x v="70"/>
    <x v="2"/>
    <x v="3"/>
    <x v="0"/>
    <x v="150"/>
    <x v="295"/>
    <x v="75"/>
    <x v="562"/>
    <x v="1"/>
    <x v="0"/>
    <x v="0"/>
    <x v="0"/>
    <x v="0"/>
    <x v="0"/>
    <x v="0"/>
    <x v="2"/>
    <x v="0"/>
    <x v="0"/>
    <x v="1"/>
    <x v="0"/>
    <x v="0"/>
    <x v="0"/>
  </r>
  <r>
    <x v="317"/>
    <x v="8"/>
    <x v="29"/>
    <x v="0"/>
    <x v="5"/>
    <x v="0"/>
    <x v="446"/>
    <x v="728"/>
    <x v="149"/>
    <x v="279"/>
    <x v="1"/>
    <x v="0"/>
    <x v="2"/>
    <x v="5"/>
    <x v="264"/>
    <x v="1"/>
    <x v="0"/>
    <x v="0"/>
    <x v="0"/>
    <x v="1"/>
    <x v="1"/>
    <x v="0"/>
    <x v="0"/>
    <x v="0"/>
  </r>
  <r>
    <x v="318"/>
    <x v="56"/>
    <x v="61"/>
    <x v="2"/>
    <x v="4"/>
    <x v="0"/>
    <x v="180"/>
    <x v="278"/>
    <x v="213"/>
    <x v="502"/>
    <x v="0"/>
    <x v="1"/>
    <x v="0"/>
    <x v="0"/>
    <x v="176"/>
    <x v="1"/>
    <x v="2"/>
    <x v="0"/>
    <x v="0"/>
    <x v="0"/>
    <x v="0"/>
    <x v="0"/>
    <x v="0"/>
    <x v="0"/>
  </r>
  <r>
    <x v="319"/>
    <x v="16"/>
    <x v="3"/>
    <x v="1"/>
    <x v="0"/>
    <x v="0"/>
    <x v="247"/>
    <x v="189"/>
    <x v="112"/>
    <x v="904"/>
    <x v="0"/>
    <x v="1"/>
    <x v="2"/>
    <x v="2"/>
    <x v="152"/>
    <x v="1"/>
    <x v="2"/>
    <x v="0"/>
    <x v="2"/>
    <x v="1"/>
    <x v="0"/>
    <x v="0"/>
    <x v="0"/>
    <x v="0"/>
  </r>
  <r>
    <x v="320"/>
    <x v="36"/>
    <x v="47"/>
    <x v="2"/>
    <x v="0"/>
    <x v="0"/>
    <x v="165"/>
    <x v="789"/>
    <x v="154"/>
    <x v="648"/>
    <x v="0"/>
    <x v="1"/>
    <x v="0"/>
    <x v="1"/>
    <x v="175"/>
    <x v="1"/>
    <x v="1"/>
    <x v="0"/>
    <x v="0"/>
    <x v="0"/>
    <x v="0"/>
    <x v="0"/>
    <x v="0"/>
    <x v="0"/>
  </r>
  <r>
    <x v="321"/>
    <x v="15"/>
    <x v="32"/>
    <x v="2"/>
    <x v="1"/>
    <x v="1"/>
    <x v="429"/>
    <x v="386"/>
    <x v="17"/>
    <x v="590"/>
    <x v="1"/>
    <x v="0"/>
    <x v="2"/>
    <x v="2"/>
    <x v="21"/>
    <x v="1"/>
    <x v="0"/>
    <x v="1"/>
    <x v="0"/>
    <x v="1"/>
    <x v="1"/>
    <x v="0"/>
    <x v="1"/>
    <x v="1"/>
  </r>
  <r>
    <x v="322"/>
    <x v="33"/>
    <x v="33"/>
    <x v="0"/>
    <x v="3"/>
    <x v="0"/>
    <x v="214"/>
    <x v="777"/>
    <x v="132"/>
    <x v="273"/>
    <x v="0"/>
    <x v="1"/>
    <x v="2"/>
    <x v="4"/>
    <x v="210"/>
    <x v="1"/>
    <x v="0"/>
    <x v="0"/>
    <x v="0"/>
    <x v="1"/>
    <x v="0"/>
    <x v="0"/>
    <x v="0"/>
    <x v="0"/>
  </r>
  <r>
    <x v="323"/>
    <x v="40"/>
    <x v="19"/>
    <x v="1"/>
    <x v="1"/>
    <x v="0"/>
    <x v="249"/>
    <x v="33"/>
    <x v="111"/>
    <x v="968"/>
    <x v="0"/>
    <x v="1"/>
    <x v="1"/>
    <x v="2"/>
    <x v="41"/>
    <x v="1"/>
    <x v="1"/>
    <x v="1"/>
    <x v="1"/>
    <x v="1"/>
    <x v="0"/>
    <x v="1"/>
    <x v="0"/>
    <x v="0"/>
  </r>
  <r>
    <x v="324"/>
    <x v="43"/>
    <x v="69"/>
    <x v="0"/>
    <x v="5"/>
    <x v="1"/>
    <x v="388"/>
    <x v="548"/>
    <x v="201"/>
    <x v="285"/>
    <x v="1"/>
    <x v="0"/>
    <x v="0"/>
    <x v="0"/>
    <x v="157"/>
    <x v="0"/>
    <x v="0"/>
    <x v="0"/>
    <x v="0"/>
    <x v="0"/>
    <x v="1"/>
    <x v="0"/>
    <x v="1"/>
    <x v="1"/>
  </r>
  <r>
    <x v="325"/>
    <x v="23"/>
    <x v="28"/>
    <x v="1"/>
    <x v="5"/>
    <x v="0"/>
    <x v="309"/>
    <x v="799"/>
    <x v="77"/>
    <x v="519"/>
    <x v="2"/>
    <x v="0"/>
    <x v="0"/>
    <x v="1"/>
    <x v="206"/>
    <x v="1"/>
    <x v="2"/>
    <x v="0"/>
    <x v="0"/>
    <x v="0"/>
    <x v="1"/>
    <x v="0"/>
    <x v="0"/>
    <x v="0"/>
  </r>
  <r>
    <x v="326"/>
    <x v="35"/>
    <x v="61"/>
    <x v="2"/>
    <x v="5"/>
    <x v="0"/>
    <x v="222"/>
    <x v="414"/>
    <x v="98"/>
    <x v="588"/>
    <x v="2"/>
    <x v="0"/>
    <x v="1"/>
    <x v="4"/>
    <x v="299"/>
    <x v="2"/>
    <x v="0"/>
    <x v="0"/>
    <x v="0"/>
    <x v="1"/>
    <x v="1"/>
    <x v="0"/>
    <x v="0"/>
    <x v="0"/>
  </r>
  <r>
    <x v="327"/>
    <x v="48"/>
    <x v="30"/>
    <x v="2"/>
    <x v="1"/>
    <x v="1"/>
    <x v="377"/>
    <x v="306"/>
    <x v="189"/>
    <x v="604"/>
    <x v="0"/>
    <x v="1"/>
    <x v="1"/>
    <x v="1"/>
    <x v="95"/>
    <x v="0"/>
    <x v="2"/>
    <x v="0"/>
    <x v="0"/>
    <x v="1"/>
    <x v="0"/>
    <x v="0"/>
    <x v="1"/>
    <x v="1"/>
  </r>
  <r>
    <x v="328"/>
    <x v="48"/>
    <x v="3"/>
    <x v="0"/>
    <x v="5"/>
    <x v="0"/>
    <x v="467"/>
    <x v="72"/>
    <x v="109"/>
    <x v="106"/>
    <x v="0"/>
    <x v="1"/>
    <x v="0"/>
    <x v="0"/>
    <x v="184"/>
    <x v="1"/>
    <x v="0"/>
    <x v="1"/>
    <x v="2"/>
    <x v="0"/>
    <x v="0"/>
    <x v="0"/>
    <x v="0"/>
    <x v="0"/>
  </r>
  <r>
    <x v="329"/>
    <x v="43"/>
    <x v="63"/>
    <x v="0"/>
    <x v="3"/>
    <x v="0"/>
    <x v="271"/>
    <x v="678"/>
    <x v="39"/>
    <x v="374"/>
    <x v="1"/>
    <x v="0"/>
    <x v="0"/>
    <x v="1"/>
    <x v="288"/>
    <x v="0"/>
    <x v="0"/>
    <x v="1"/>
    <x v="0"/>
    <x v="0"/>
    <x v="1"/>
    <x v="0"/>
    <x v="0"/>
    <x v="0"/>
  </r>
  <r>
    <x v="330"/>
    <x v="23"/>
    <x v="13"/>
    <x v="1"/>
    <x v="5"/>
    <x v="1"/>
    <x v="245"/>
    <x v="156"/>
    <x v="252"/>
    <x v="778"/>
    <x v="1"/>
    <x v="0"/>
    <x v="2"/>
    <x v="3"/>
    <x v="140"/>
    <x v="1"/>
    <x v="1"/>
    <x v="1"/>
    <x v="1"/>
    <x v="1"/>
    <x v="1"/>
    <x v="0"/>
    <x v="1"/>
    <x v="1"/>
  </r>
  <r>
    <x v="331"/>
    <x v="30"/>
    <x v="19"/>
    <x v="2"/>
    <x v="3"/>
    <x v="0"/>
    <x v="253"/>
    <x v="369"/>
    <x v="41"/>
    <x v="594"/>
    <x v="0"/>
    <x v="1"/>
    <x v="0"/>
    <x v="0"/>
    <x v="67"/>
    <x v="0"/>
    <x v="1"/>
    <x v="0"/>
    <x v="1"/>
    <x v="0"/>
    <x v="0"/>
    <x v="0"/>
    <x v="0"/>
    <x v="0"/>
  </r>
  <r>
    <x v="332"/>
    <x v="56"/>
    <x v="61"/>
    <x v="2"/>
    <x v="5"/>
    <x v="0"/>
    <x v="401"/>
    <x v="60"/>
    <x v="110"/>
    <x v="500"/>
    <x v="0"/>
    <x v="1"/>
    <x v="0"/>
    <x v="0"/>
    <x v="33"/>
    <x v="1"/>
    <x v="1"/>
    <x v="0"/>
    <x v="0"/>
    <x v="0"/>
    <x v="0"/>
    <x v="0"/>
    <x v="0"/>
    <x v="0"/>
  </r>
  <r>
    <x v="333"/>
    <x v="14"/>
    <x v="64"/>
    <x v="1"/>
    <x v="0"/>
    <x v="0"/>
    <x v="149"/>
    <x v="758"/>
    <x v="139"/>
    <x v="871"/>
    <x v="1"/>
    <x v="0"/>
    <x v="3"/>
    <x v="4"/>
    <x v="220"/>
    <x v="0"/>
    <x v="1"/>
    <x v="0"/>
    <x v="0"/>
    <x v="1"/>
    <x v="1"/>
    <x v="0"/>
    <x v="0"/>
    <x v="0"/>
  </r>
  <r>
    <x v="334"/>
    <x v="40"/>
    <x v="66"/>
    <x v="1"/>
    <x v="2"/>
    <x v="0"/>
    <x v="189"/>
    <x v="692"/>
    <x v="134"/>
    <x v="833"/>
    <x v="0"/>
    <x v="1"/>
    <x v="1"/>
    <x v="2"/>
    <x v="105"/>
    <x v="2"/>
    <x v="0"/>
    <x v="0"/>
    <x v="0"/>
    <x v="1"/>
    <x v="0"/>
    <x v="0"/>
    <x v="0"/>
    <x v="0"/>
  </r>
  <r>
    <x v="335"/>
    <x v="45"/>
    <x v="30"/>
    <x v="1"/>
    <x v="1"/>
    <x v="0"/>
    <x v="45"/>
    <x v="393"/>
    <x v="102"/>
    <x v="960"/>
    <x v="0"/>
    <x v="1"/>
    <x v="0"/>
    <x v="1"/>
    <x v="310"/>
    <x v="0"/>
    <x v="0"/>
    <x v="0"/>
    <x v="0"/>
    <x v="0"/>
    <x v="0"/>
    <x v="0"/>
    <x v="0"/>
    <x v="0"/>
  </r>
  <r>
    <x v="336"/>
    <x v="27"/>
    <x v="54"/>
    <x v="0"/>
    <x v="2"/>
    <x v="0"/>
    <x v="77"/>
    <x v="73"/>
    <x v="102"/>
    <x v="231"/>
    <x v="0"/>
    <x v="1"/>
    <x v="0"/>
    <x v="0"/>
    <x v="111"/>
    <x v="1"/>
    <x v="0"/>
    <x v="1"/>
    <x v="0"/>
    <x v="0"/>
    <x v="0"/>
    <x v="0"/>
    <x v="0"/>
    <x v="0"/>
  </r>
  <r>
    <x v="337"/>
    <x v="50"/>
    <x v="23"/>
    <x v="2"/>
    <x v="5"/>
    <x v="0"/>
    <x v="160"/>
    <x v="753"/>
    <x v="99"/>
    <x v="684"/>
    <x v="0"/>
    <x v="1"/>
    <x v="0"/>
    <x v="0"/>
    <x v="85"/>
    <x v="1"/>
    <x v="0"/>
    <x v="0"/>
    <x v="1"/>
    <x v="0"/>
    <x v="0"/>
    <x v="0"/>
    <x v="0"/>
    <x v="0"/>
  </r>
  <r>
    <x v="338"/>
    <x v="24"/>
    <x v="53"/>
    <x v="1"/>
    <x v="2"/>
    <x v="0"/>
    <x v="222"/>
    <x v="273"/>
    <x v="39"/>
    <x v="872"/>
    <x v="1"/>
    <x v="0"/>
    <x v="0"/>
    <x v="0"/>
    <x v="215"/>
    <x v="2"/>
    <x v="2"/>
    <x v="1"/>
    <x v="0"/>
    <x v="0"/>
    <x v="1"/>
    <x v="0"/>
    <x v="0"/>
    <x v="0"/>
  </r>
  <r>
    <x v="339"/>
    <x v="48"/>
    <x v="36"/>
    <x v="2"/>
    <x v="0"/>
    <x v="0"/>
    <x v="438"/>
    <x v="85"/>
    <x v="247"/>
    <x v="372"/>
    <x v="1"/>
    <x v="0"/>
    <x v="1"/>
    <x v="1"/>
    <x v="111"/>
    <x v="0"/>
    <x v="0"/>
    <x v="0"/>
    <x v="0"/>
    <x v="1"/>
    <x v="1"/>
    <x v="0"/>
    <x v="0"/>
    <x v="0"/>
  </r>
  <r>
    <x v="340"/>
    <x v="37"/>
    <x v="3"/>
    <x v="0"/>
    <x v="2"/>
    <x v="1"/>
    <x v="302"/>
    <x v="0"/>
    <x v="100"/>
    <x v="170"/>
    <x v="1"/>
    <x v="0"/>
    <x v="2"/>
    <x v="3"/>
    <x v="188"/>
    <x v="0"/>
    <x v="0"/>
    <x v="1"/>
    <x v="2"/>
    <x v="1"/>
    <x v="1"/>
    <x v="1"/>
    <x v="1"/>
    <x v="1"/>
  </r>
  <r>
    <x v="341"/>
    <x v="2"/>
    <x v="30"/>
    <x v="1"/>
    <x v="0"/>
    <x v="0"/>
    <x v="111"/>
    <x v="186"/>
    <x v="157"/>
    <x v="869"/>
    <x v="0"/>
    <x v="1"/>
    <x v="0"/>
    <x v="2"/>
    <x v="292"/>
    <x v="0"/>
    <x v="1"/>
    <x v="0"/>
    <x v="0"/>
    <x v="0"/>
    <x v="0"/>
    <x v="0"/>
    <x v="0"/>
    <x v="0"/>
  </r>
  <r>
    <x v="342"/>
    <x v="47"/>
    <x v="33"/>
    <x v="2"/>
    <x v="5"/>
    <x v="0"/>
    <x v="133"/>
    <x v="25"/>
    <x v="92"/>
    <x v="728"/>
    <x v="0"/>
    <x v="1"/>
    <x v="1"/>
    <x v="2"/>
    <x v="201"/>
    <x v="2"/>
    <x v="0"/>
    <x v="0"/>
    <x v="0"/>
    <x v="1"/>
    <x v="0"/>
    <x v="1"/>
    <x v="0"/>
    <x v="0"/>
  </r>
  <r>
    <x v="343"/>
    <x v="40"/>
    <x v="18"/>
    <x v="2"/>
    <x v="1"/>
    <x v="0"/>
    <x v="406"/>
    <x v="191"/>
    <x v="90"/>
    <x v="430"/>
    <x v="0"/>
    <x v="1"/>
    <x v="0"/>
    <x v="0"/>
    <x v="202"/>
    <x v="0"/>
    <x v="0"/>
    <x v="0"/>
    <x v="1"/>
    <x v="0"/>
    <x v="0"/>
    <x v="0"/>
    <x v="0"/>
    <x v="0"/>
  </r>
  <r>
    <x v="344"/>
    <x v="12"/>
    <x v="26"/>
    <x v="1"/>
    <x v="5"/>
    <x v="0"/>
    <x v="379"/>
    <x v="615"/>
    <x v="83"/>
    <x v="692"/>
    <x v="0"/>
    <x v="1"/>
    <x v="1"/>
    <x v="3"/>
    <x v="212"/>
    <x v="2"/>
    <x v="0"/>
    <x v="0"/>
    <x v="0"/>
    <x v="1"/>
    <x v="0"/>
    <x v="0"/>
    <x v="0"/>
    <x v="0"/>
  </r>
  <r>
    <x v="345"/>
    <x v="40"/>
    <x v="36"/>
    <x v="2"/>
    <x v="4"/>
    <x v="0"/>
    <x v="232"/>
    <x v="269"/>
    <x v="10"/>
    <x v="709"/>
    <x v="0"/>
    <x v="1"/>
    <x v="2"/>
    <x v="2"/>
    <x v="15"/>
    <x v="2"/>
    <x v="1"/>
    <x v="2"/>
    <x v="0"/>
    <x v="1"/>
    <x v="0"/>
    <x v="0"/>
    <x v="0"/>
    <x v="0"/>
  </r>
  <r>
    <x v="346"/>
    <x v="29"/>
    <x v="3"/>
    <x v="2"/>
    <x v="0"/>
    <x v="0"/>
    <x v="170"/>
    <x v="506"/>
    <x v="104"/>
    <x v="447"/>
    <x v="0"/>
    <x v="1"/>
    <x v="1"/>
    <x v="1"/>
    <x v="232"/>
    <x v="1"/>
    <x v="0"/>
    <x v="0"/>
    <x v="2"/>
    <x v="1"/>
    <x v="0"/>
    <x v="0"/>
    <x v="0"/>
    <x v="0"/>
  </r>
  <r>
    <x v="347"/>
    <x v="54"/>
    <x v="10"/>
    <x v="2"/>
    <x v="3"/>
    <x v="0"/>
    <x v="379"/>
    <x v="169"/>
    <x v="87"/>
    <x v="625"/>
    <x v="1"/>
    <x v="0"/>
    <x v="1"/>
    <x v="1"/>
    <x v="206"/>
    <x v="0"/>
    <x v="1"/>
    <x v="1"/>
    <x v="1"/>
    <x v="1"/>
    <x v="1"/>
    <x v="0"/>
    <x v="0"/>
    <x v="0"/>
  </r>
  <r>
    <x v="348"/>
    <x v="17"/>
    <x v="55"/>
    <x v="2"/>
    <x v="1"/>
    <x v="0"/>
    <x v="101"/>
    <x v="427"/>
    <x v="197"/>
    <x v="354"/>
    <x v="1"/>
    <x v="0"/>
    <x v="2"/>
    <x v="3"/>
    <x v="283"/>
    <x v="1"/>
    <x v="1"/>
    <x v="1"/>
    <x v="0"/>
    <x v="1"/>
    <x v="1"/>
    <x v="0"/>
    <x v="0"/>
    <x v="0"/>
  </r>
  <r>
    <x v="349"/>
    <x v="15"/>
    <x v="25"/>
    <x v="0"/>
    <x v="2"/>
    <x v="1"/>
    <x v="281"/>
    <x v="791"/>
    <x v="33"/>
    <x v="251"/>
    <x v="0"/>
    <x v="1"/>
    <x v="0"/>
    <x v="1"/>
    <x v="255"/>
    <x v="2"/>
    <x v="2"/>
    <x v="0"/>
    <x v="0"/>
    <x v="0"/>
    <x v="0"/>
    <x v="0"/>
    <x v="1"/>
    <x v="0"/>
  </r>
  <r>
    <x v="350"/>
    <x v="3"/>
    <x v="43"/>
    <x v="1"/>
    <x v="1"/>
    <x v="0"/>
    <x v="461"/>
    <x v="281"/>
    <x v="75"/>
    <x v="900"/>
    <x v="0"/>
    <x v="1"/>
    <x v="0"/>
    <x v="0"/>
    <x v="167"/>
    <x v="1"/>
    <x v="1"/>
    <x v="2"/>
    <x v="0"/>
    <x v="0"/>
    <x v="0"/>
    <x v="0"/>
    <x v="0"/>
    <x v="0"/>
  </r>
  <r>
    <x v="351"/>
    <x v="45"/>
    <x v="40"/>
    <x v="1"/>
    <x v="2"/>
    <x v="0"/>
    <x v="258"/>
    <x v="512"/>
    <x v="53"/>
    <x v="936"/>
    <x v="0"/>
    <x v="1"/>
    <x v="1"/>
    <x v="2"/>
    <x v="295"/>
    <x v="0"/>
    <x v="0"/>
    <x v="1"/>
    <x v="0"/>
    <x v="1"/>
    <x v="0"/>
    <x v="0"/>
    <x v="0"/>
    <x v="0"/>
  </r>
  <r>
    <x v="352"/>
    <x v="57"/>
    <x v="39"/>
    <x v="0"/>
    <x v="1"/>
    <x v="1"/>
    <x v="127"/>
    <x v="14"/>
    <x v="215"/>
    <x v="244"/>
    <x v="0"/>
    <x v="1"/>
    <x v="0"/>
    <x v="0"/>
    <x v="156"/>
    <x v="1"/>
    <x v="1"/>
    <x v="0"/>
    <x v="0"/>
    <x v="0"/>
    <x v="0"/>
    <x v="1"/>
    <x v="1"/>
    <x v="1"/>
  </r>
  <r>
    <x v="353"/>
    <x v="39"/>
    <x v="29"/>
    <x v="0"/>
    <x v="1"/>
    <x v="1"/>
    <x v="284"/>
    <x v="752"/>
    <x v="54"/>
    <x v="81"/>
    <x v="1"/>
    <x v="0"/>
    <x v="2"/>
    <x v="2"/>
    <x v="217"/>
    <x v="1"/>
    <x v="0"/>
    <x v="0"/>
    <x v="0"/>
    <x v="1"/>
    <x v="1"/>
    <x v="0"/>
    <x v="1"/>
    <x v="1"/>
  </r>
  <r>
    <x v="354"/>
    <x v="21"/>
    <x v="34"/>
    <x v="1"/>
    <x v="1"/>
    <x v="1"/>
    <x v="167"/>
    <x v="230"/>
    <x v="154"/>
    <x v="870"/>
    <x v="0"/>
    <x v="1"/>
    <x v="1"/>
    <x v="1"/>
    <x v="154"/>
    <x v="1"/>
    <x v="0"/>
    <x v="0"/>
    <x v="0"/>
    <x v="1"/>
    <x v="0"/>
    <x v="0"/>
    <x v="1"/>
    <x v="1"/>
  </r>
  <r>
    <x v="355"/>
    <x v="50"/>
    <x v="59"/>
    <x v="0"/>
    <x v="1"/>
    <x v="0"/>
    <x v="59"/>
    <x v="670"/>
    <x v="183"/>
    <x v="288"/>
    <x v="0"/>
    <x v="1"/>
    <x v="0"/>
    <x v="0"/>
    <x v="240"/>
    <x v="1"/>
    <x v="0"/>
    <x v="1"/>
    <x v="0"/>
    <x v="0"/>
    <x v="0"/>
    <x v="0"/>
    <x v="0"/>
    <x v="0"/>
  </r>
  <r>
    <x v="356"/>
    <x v="14"/>
    <x v="69"/>
    <x v="2"/>
    <x v="5"/>
    <x v="0"/>
    <x v="326"/>
    <x v="358"/>
    <x v="105"/>
    <x v="469"/>
    <x v="0"/>
    <x v="1"/>
    <x v="1"/>
    <x v="1"/>
    <x v="146"/>
    <x v="1"/>
    <x v="2"/>
    <x v="0"/>
    <x v="0"/>
    <x v="1"/>
    <x v="0"/>
    <x v="0"/>
    <x v="0"/>
    <x v="0"/>
  </r>
  <r>
    <x v="357"/>
    <x v="40"/>
    <x v="18"/>
    <x v="2"/>
    <x v="5"/>
    <x v="1"/>
    <x v="378"/>
    <x v="582"/>
    <x v="22"/>
    <x v="561"/>
    <x v="0"/>
    <x v="1"/>
    <x v="2"/>
    <x v="3"/>
    <x v="341"/>
    <x v="1"/>
    <x v="1"/>
    <x v="0"/>
    <x v="1"/>
    <x v="1"/>
    <x v="0"/>
    <x v="0"/>
    <x v="1"/>
    <x v="1"/>
  </r>
  <r>
    <x v="358"/>
    <x v="34"/>
    <x v="48"/>
    <x v="2"/>
    <x v="1"/>
    <x v="0"/>
    <x v="184"/>
    <x v="599"/>
    <x v="23"/>
    <x v="655"/>
    <x v="0"/>
    <x v="1"/>
    <x v="0"/>
    <x v="0"/>
    <x v="184"/>
    <x v="0"/>
    <x v="2"/>
    <x v="2"/>
    <x v="0"/>
    <x v="0"/>
    <x v="0"/>
    <x v="0"/>
    <x v="0"/>
    <x v="0"/>
  </r>
  <r>
    <x v="359"/>
    <x v="49"/>
    <x v="69"/>
    <x v="0"/>
    <x v="1"/>
    <x v="0"/>
    <x v="177"/>
    <x v="240"/>
    <x v="175"/>
    <x v="180"/>
    <x v="0"/>
    <x v="1"/>
    <x v="1"/>
    <x v="1"/>
    <x v="282"/>
    <x v="1"/>
    <x v="0"/>
    <x v="0"/>
    <x v="0"/>
    <x v="1"/>
    <x v="0"/>
    <x v="0"/>
    <x v="0"/>
    <x v="0"/>
  </r>
  <r>
    <x v="360"/>
    <x v="56"/>
    <x v="0"/>
    <x v="2"/>
    <x v="0"/>
    <x v="1"/>
    <x v="106"/>
    <x v="682"/>
    <x v="29"/>
    <x v="404"/>
    <x v="0"/>
    <x v="1"/>
    <x v="1"/>
    <x v="2"/>
    <x v="336"/>
    <x v="2"/>
    <x v="0"/>
    <x v="1"/>
    <x v="2"/>
    <x v="1"/>
    <x v="0"/>
    <x v="0"/>
    <x v="1"/>
    <x v="1"/>
  </r>
  <r>
    <x v="361"/>
    <x v="20"/>
    <x v="56"/>
    <x v="2"/>
    <x v="2"/>
    <x v="0"/>
    <x v="209"/>
    <x v="161"/>
    <x v="142"/>
    <x v="537"/>
    <x v="0"/>
    <x v="1"/>
    <x v="1"/>
    <x v="1"/>
    <x v="25"/>
    <x v="0"/>
    <x v="0"/>
    <x v="1"/>
    <x v="0"/>
    <x v="1"/>
    <x v="0"/>
    <x v="0"/>
    <x v="0"/>
    <x v="0"/>
  </r>
  <r>
    <x v="362"/>
    <x v="5"/>
    <x v="35"/>
    <x v="2"/>
    <x v="2"/>
    <x v="0"/>
    <x v="154"/>
    <x v="624"/>
    <x v="123"/>
    <x v="491"/>
    <x v="1"/>
    <x v="0"/>
    <x v="1"/>
    <x v="1"/>
    <x v="34"/>
    <x v="0"/>
    <x v="2"/>
    <x v="1"/>
    <x v="0"/>
    <x v="1"/>
    <x v="1"/>
    <x v="0"/>
    <x v="0"/>
    <x v="0"/>
  </r>
  <r>
    <x v="363"/>
    <x v="9"/>
    <x v="69"/>
    <x v="0"/>
    <x v="2"/>
    <x v="0"/>
    <x v="98"/>
    <x v="266"/>
    <x v="141"/>
    <x v="27"/>
    <x v="0"/>
    <x v="1"/>
    <x v="0"/>
    <x v="1"/>
    <x v="152"/>
    <x v="0"/>
    <x v="0"/>
    <x v="0"/>
    <x v="0"/>
    <x v="0"/>
    <x v="0"/>
    <x v="0"/>
    <x v="0"/>
    <x v="0"/>
  </r>
  <r>
    <x v="364"/>
    <x v="42"/>
    <x v="41"/>
    <x v="2"/>
    <x v="5"/>
    <x v="0"/>
    <x v="442"/>
    <x v="504"/>
    <x v="148"/>
    <x v="555"/>
    <x v="2"/>
    <x v="0"/>
    <x v="1"/>
    <x v="1"/>
    <x v="192"/>
    <x v="1"/>
    <x v="0"/>
    <x v="0"/>
    <x v="0"/>
    <x v="1"/>
    <x v="1"/>
    <x v="0"/>
    <x v="0"/>
    <x v="0"/>
  </r>
  <r>
    <x v="365"/>
    <x v="21"/>
    <x v="60"/>
    <x v="2"/>
    <x v="3"/>
    <x v="1"/>
    <x v="292"/>
    <x v="235"/>
    <x v="51"/>
    <x v="456"/>
    <x v="0"/>
    <x v="1"/>
    <x v="0"/>
    <x v="0"/>
    <x v="167"/>
    <x v="2"/>
    <x v="1"/>
    <x v="0"/>
    <x v="0"/>
    <x v="0"/>
    <x v="0"/>
    <x v="0"/>
    <x v="1"/>
    <x v="1"/>
  </r>
  <r>
    <x v="366"/>
    <x v="8"/>
    <x v="11"/>
    <x v="0"/>
    <x v="5"/>
    <x v="0"/>
    <x v="308"/>
    <x v="424"/>
    <x v="49"/>
    <x v="108"/>
    <x v="1"/>
    <x v="0"/>
    <x v="0"/>
    <x v="1"/>
    <x v="19"/>
    <x v="0"/>
    <x v="0"/>
    <x v="0"/>
    <x v="1"/>
    <x v="0"/>
    <x v="1"/>
    <x v="0"/>
    <x v="0"/>
    <x v="0"/>
  </r>
  <r>
    <x v="367"/>
    <x v="47"/>
    <x v="10"/>
    <x v="0"/>
    <x v="5"/>
    <x v="0"/>
    <x v="349"/>
    <x v="93"/>
    <x v="165"/>
    <x v="93"/>
    <x v="0"/>
    <x v="1"/>
    <x v="0"/>
    <x v="1"/>
    <x v="305"/>
    <x v="0"/>
    <x v="1"/>
    <x v="1"/>
    <x v="1"/>
    <x v="0"/>
    <x v="0"/>
    <x v="0"/>
    <x v="0"/>
    <x v="0"/>
  </r>
  <r>
    <x v="368"/>
    <x v="37"/>
    <x v="66"/>
    <x v="0"/>
    <x v="4"/>
    <x v="1"/>
    <x v="335"/>
    <x v="486"/>
    <x v="71"/>
    <x v="168"/>
    <x v="0"/>
    <x v="1"/>
    <x v="3"/>
    <x v="3"/>
    <x v="363"/>
    <x v="2"/>
    <x v="1"/>
    <x v="0"/>
    <x v="0"/>
    <x v="1"/>
    <x v="0"/>
    <x v="0"/>
    <x v="1"/>
    <x v="0"/>
  </r>
  <r>
    <x v="369"/>
    <x v="7"/>
    <x v="37"/>
    <x v="0"/>
    <x v="0"/>
    <x v="1"/>
    <x v="172"/>
    <x v="422"/>
    <x v="0"/>
    <x v="92"/>
    <x v="0"/>
    <x v="1"/>
    <x v="2"/>
    <x v="2"/>
    <x v="317"/>
    <x v="2"/>
    <x v="0"/>
    <x v="0"/>
    <x v="0"/>
    <x v="1"/>
    <x v="0"/>
    <x v="0"/>
    <x v="1"/>
    <x v="1"/>
  </r>
  <r>
    <x v="370"/>
    <x v="41"/>
    <x v="40"/>
    <x v="0"/>
    <x v="5"/>
    <x v="0"/>
    <x v="265"/>
    <x v="217"/>
    <x v="160"/>
    <x v="23"/>
    <x v="3"/>
    <x v="0"/>
    <x v="0"/>
    <x v="0"/>
    <x v="300"/>
    <x v="1"/>
    <x v="1"/>
    <x v="0"/>
    <x v="0"/>
    <x v="0"/>
    <x v="1"/>
    <x v="0"/>
    <x v="0"/>
    <x v="0"/>
  </r>
  <r>
    <x v="371"/>
    <x v="37"/>
    <x v="12"/>
    <x v="1"/>
    <x v="3"/>
    <x v="0"/>
    <x v="191"/>
    <x v="385"/>
    <x v="44"/>
    <x v="855"/>
    <x v="0"/>
    <x v="1"/>
    <x v="2"/>
    <x v="2"/>
    <x v="214"/>
    <x v="1"/>
    <x v="0"/>
    <x v="0"/>
    <x v="1"/>
    <x v="1"/>
    <x v="0"/>
    <x v="0"/>
    <x v="0"/>
    <x v="0"/>
  </r>
  <r>
    <x v="372"/>
    <x v="57"/>
    <x v="16"/>
    <x v="2"/>
    <x v="3"/>
    <x v="0"/>
    <x v="288"/>
    <x v="448"/>
    <x v="148"/>
    <x v="710"/>
    <x v="1"/>
    <x v="0"/>
    <x v="0"/>
    <x v="1"/>
    <x v="92"/>
    <x v="0"/>
    <x v="1"/>
    <x v="0"/>
    <x v="1"/>
    <x v="0"/>
    <x v="1"/>
    <x v="0"/>
    <x v="0"/>
    <x v="0"/>
  </r>
  <r>
    <x v="373"/>
    <x v="57"/>
    <x v="58"/>
    <x v="1"/>
    <x v="3"/>
    <x v="0"/>
    <x v="273"/>
    <x v="193"/>
    <x v="212"/>
    <x v="735"/>
    <x v="0"/>
    <x v="1"/>
    <x v="0"/>
    <x v="1"/>
    <x v="196"/>
    <x v="0"/>
    <x v="0"/>
    <x v="1"/>
    <x v="0"/>
    <x v="0"/>
    <x v="0"/>
    <x v="0"/>
    <x v="0"/>
    <x v="0"/>
  </r>
  <r>
    <x v="374"/>
    <x v="56"/>
    <x v="21"/>
    <x v="1"/>
    <x v="2"/>
    <x v="0"/>
    <x v="177"/>
    <x v="356"/>
    <x v="116"/>
    <x v="819"/>
    <x v="0"/>
    <x v="1"/>
    <x v="0"/>
    <x v="0"/>
    <x v="360"/>
    <x v="2"/>
    <x v="2"/>
    <x v="0"/>
    <x v="1"/>
    <x v="0"/>
    <x v="0"/>
    <x v="0"/>
    <x v="0"/>
    <x v="0"/>
  </r>
  <r>
    <x v="375"/>
    <x v="51"/>
    <x v="42"/>
    <x v="0"/>
    <x v="2"/>
    <x v="0"/>
    <x v="66"/>
    <x v="112"/>
    <x v="185"/>
    <x v="206"/>
    <x v="0"/>
    <x v="1"/>
    <x v="1"/>
    <x v="1"/>
    <x v="149"/>
    <x v="0"/>
    <x v="2"/>
    <x v="1"/>
    <x v="0"/>
    <x v="1"/>
    <x v="0"/>
    <x v="0"/>
    <x v="0"/>
    <x v="0"/>
  </r>
  <r>
    <x v="376"/>
    <x v="46"/>
    <x v="22"/>
    <x v="2"/>
    <x v="0"/>
    <x v="0"/>
    <x v="249"/>
    <x v="383"/>
    <x v="126"/>
    <x v="503"/>
    <x v="0"/>
    <x v="1"/>
    <x v="2"/>
    <x v="3"/>
    <x v="137"/>
    <x v="0"/>
    <x v="0"/>
    <x v="0"/>
    <x v="1"/>
    <x v="1"/>
    <x v="0"/>
    <x v="1"/>
    <x v="0"/>
    <x v="0"/>
  </r>
  <r>
    <x v="377"/>
    <x v="38"/>
    <x v="18"/>
    <x v="1"/>
    <x v="3"/>
    <x v="0"/>
    <x v="200"/>
    <x v="672"/>
    <x v="224"/>
    <x v="808"/>
    <x v="0"/>
    <x v="1"/>
    <x v="2"/>
    <x v="2"/>
    <x v="303"/>
    <x v="0"/>
    <x v="0"/>
    <x v="2"/>
    <x v="1"/>
    <x v="1"/>
    <x v="0"/>
    <x v="0"/>
    <x v="0"/>
    <x v="0"/>
  </r>
  <r>
    <x v="378"/>
    <x v="31"/>
    <x v="11"/>
    <x v="2"/>
    <x v="3"/>
    <x v="0"/>
    <x v="19"/>
    <x v="492"/>
    <x v="43"/>
    <x v="452"/>
    <x v="0"/>
    <x v="1"/>
    <x v="1"/>
    <x v="2"/>
    <x v="307"/>
    <x v="1"/>
    <x v="2"/>
    <x v="0"/>
    <x v="1"/>
    <x v="1"/>
    <x v="0"/>
    <x v="0"/>
    <x v="0"/>
    <x v="0"/>
  </r>
  <r>
    <x v="379"/>
    <x v="45"/>
    <x v="66"/>
    <x v="2"/>
    <x v="5"/>
    <x v="0"/>
    <x v="298"/>
    <x v="696"/>
    <x v="114"/>
    <x v="461"/>
    <x v="0"/>
    <x v="1"/>
    <x v="0"/>
    <x v="1"/>
    <x v="91"/>
    <x v="2"/>
    <x v="0"/>
    <x v="0"/>
    <x v="0"/>
    <x v="0"/>
    <x v="0"/>
    <x v="0"/>
    <x v="0"/>
    <x v="0"/>
  </r>
  <r>
    <x v="380"/>
    <x v="56"/>
    <x v="67"/>
    <x v="2"/>
    <x v="1"/>
    <x v="0"/>
    <x v="360"/>
    <x v="0"/>
    <x v="162"/>
    <x v="641"/>
    <x v="0"/>
    <x v="1"/>
    <x v="0"/>
    <x v="0"/>
    <x v="160"/>
    <x v="3"/>
    <x v="0"/>
    <x v="0"/>
    <x v="0"/>
    <x v="0"/>
    <x v="0"/>
    <x v="1"/>
    <x v="0"/>
    <x v="0"/>
  </r>
  <r>
    <x v="381"/>
    <x v="6"/>
    <x v="8"/>
    <x v="0"/>
    <x v="0"/>
    <x v="0"/>
    <x v="465"/>
    <x v="0"/>
    <x v="102"/>
    <x v="343"/>
    <x v="0"/>
    <x v="1"/>
    <x v="0"/>
    <x v="0"/>
    <x v="184"/>
    <x v="0"/>
    <x v="0"/>
    <x v="1"/>
    <x v="1"/>
    <x v="0"/>
    <x v="0"/>
    <x v="1"/>
    <x v="0"/>
    <x v="0"/>
  </r>
  <r>
    <x v="382"/>
    <x v="7"/>
    <x v="25"/>
    <x v="2"/>
    <x v="5"/>
    <x v="0"/>
    <x v="175"/>
    <x v="262"/>
    <x v="196"/>
    <x v="548"/>
    <x v="0"/>
    <x v="1"/>
    <x v="0"/>
    <x v="2"/>
    <x v="195"/>
    <x v="0"/>
    <x v="1"/>
    <x v="1"/>
    <x v="0"/>
    <x v="0"/>
    <x v="0"/>
    <x v="0"/>
    <x v="0"/>
    <x v="0"/>
  </r>
  <r>
    <x v="383"/>
    <x v="28"/>
    <x v="40"/>
    <x v="1"/>
    <x v="1"/>
    <x v="1"/>
    <x v="157"/>
    <x v="38"/>
    <x v="85"/>
    <x v="669"/>
    <x v="0"/>
    <x v="1"/>
    <x v="1"/>
    <x v="3"/>
    <x v="302"/>
    <x v="1"/>
    <x v="1"/>
    <x v="0"/>
    <x v="0"/>
    <x v="1"/>
    <x v="0"/>
    <x v="1"/>
    <x v="1"/>
    <x v="1"/>
  </r>
  <r>
    <x v="384"/>
    <x v="17"/>
    <x v="27"/>
    <x v="1"/>
    <x v="3"/>
    <x v="0"/>
    <x v="87"/>
    <x v="315"/>
    <x v="242"/>
    <x v="740"/>
    <x v="1"/>
    <x v="0"/>
    <x v="0"/>
    <x v="0"/>
    <x v="184"/>
    <x v="2"/>
    <x v="1"/>
    <x v="1"/>
    <x v="0"/>
    <x v="0"/>
    <x v="1"/>
    <x v="0"/>
    <x v="0"/>
    <x v="0"/>
  </r>
  <r>
    <x v="385"/>
    <x v="30"/>
    <x v="51"/>
    <x v="0"/>
    <x v="0"/>
    <x v="0"/>
    <x v="258"/>
    <x v="475"/>
    <x v="245"/>
    <x v="291"/>
    <x v="0"/>
    <x v="1"/>
    <x v="0"/>
    <x v="0"/>
    <x v="184"/>
    <x v="0"/>
    <x v="1"/>
    <x v="0"/>
    <x v="0"/>
    <x v="0"/>
    <x v="0"/>
    <x v="0"/>
    <x v="0"/>
    <x v="0"/>
  </r>
  <r>
    <x v="386"/>
    <x v="18"/>
    <x v="18"/>
    <x v="2"/>
    <x v="5"/>
    <x v="0"/>
    <x v="257"/>
    <x v="650"/>
    <x v="135"/>
    <x v="477"/>
    <x v="0"/>
    <x v="1"/>
    <x v="2"/>
    <x v="2"/>
    <x v="199"/>
    <x v="2"/>
    <x v="1"/>
    <x v="0"/>
    <x v="1"/>
    <x v="1"/>
    <x v="0"/>
    <x v="0"/>
    <x v="0"/>
    <x v="0"/>
  </r>
  <r>
    <x v="387"/>
    <x v="45"/>
    <x v="4"/>
    <x v="0"/>
    <x v="0"/>
    <x v="1"/>
    <x v="124"/>
    <x v="79"/>
    <x v="154"/>
    <x v="45"/>
    <x v="1"/>
    <x v="0"/>
    <x v="1"/>
    <x v="2"/>
    <x v="367"/>
    <x v="0"/>
    <x v="1"/>
    <x v="2"/>
    <x v="2"/>
    <x v="1"/>
    <x v="1"/>
    <x v="0"/>
    <x v="1"/>
    <x v="1"/>
  </r>
  <r>
    <x v="388"/>
    <x v="52"/>
    <x v="24"/>
    <x v="1"/>
    <x v="2"/>
    <x v="0"/>
    <x v="205"/>
    <x v="516"/>
    <x v="198"/>
    <x v="711"/>
    <x v="0"/>
    <x v="1"/>
    <x v="2"/>
    <x v="3"/>
    <x v="225"/>
    <x v="3"/>
    <x v="1"/>
    <x v="0"/>
    <x v="0"/>
    <x v="1"/>
    <x v="0"/>
    <x v="0"/>
    <x v="0"/>
    <x v="0"/>
  </r>
  <r>
    <x v="389"/>
    <x v="16"/>
    <x v="43"/>
    <x v="0"/>
    <x v="0"/>
    <x v="0"/>
    <x v="16"/>
    <x v="407"/>
    <x v="34"/>
    <x v="147"/>
    <x v="0"/>
    <x v="1"/>
    <x v="0"/>
    <x v="0"/>
    <x v="176"/>
    <x v="3"/>
    <x v="0"/>
    <x v="2"/>
    <x v="0"/>
    <x v="0"/>
    <x v="0"/>
    <x v="0"/>
    <x v="0"/>
    <x v="0"/>
  </r>
  <r>
    <x v="390"/>
    <x v="44"/>
    <x v="13"/>
    <x v="1"/>
    <x v="5"/>
    <x v="0"/>
    <x v="354"/>
    <x v="503"/>
    <x v="25"/>
    <x v="653"/>
    <x v="2"/>
    <x v="0"/>
    <x v="0"/>
    <x v="0"/>
    <x v="252"/>
    <x v="1"/>
    <x v="1"/>
    <x v="0"/>
    <x v="1"/>
    <x v="0"/>
    <x v="1"/>
    <x v="0"/>
    <x v="0"/>
    <x v="0"/>
  </r>
  <r>
    <x v="391"/>
    <x v="6"/>
    <x v="58"/>
    <x v="1"/>
    <x v="2"/>
    <x v="0"/>
    <x v="127"/>
    <x v="222"/>
    <x v="203"/>
    <x v="763"/>
    <x v="0"/>
    <x v="1"/>
    <x v="2"/>
    <x v="3"/>
    <x v="151"/>
    <x v="2"/>
    <x v="2"/>
    <x v="1"/>
    <x v="0"/>
    <x v="1"/>
    <x v="0"/>
    <x v="0"/>
    <x v="0"/>
    <x v="0"/>
  </r>
  <r>
    <x v="392"/>
    <x v="46"/>
    <x v="0"/>
    <x v="0"/>
    <x v="1"/>
    <x v="0"/>
    <x v="225"/>
    <x v="729"/>
    <x v="134"/>
    <x v="307"/>
    <x v="0"/>
    <x v="1"/>
    <x v="0"/>
    <x v="0"/>
    <x v="7"/>
    <x v="3"/>
    <x v="1"/>
    <x v="0"/>
    <x v="2"/>
    <x v="0"/>
    <x v="0"/>
    <x v="0"/>
    <x v="0"/>
    <x v="0"/>
  </r>
  <r>
    <x v="393"/>
    <x v="40"/>
    <x v="4"/>
    <x v="0"/>
    <x v="5"/>
    <x v="0"/>
    <x v="55"/>
    <x v="366"/>
    <x v="99"/>
    <x v="177"/>
    <x v="0"/>
    <x v="1"/>
    <x v="0"/>
    <x v="0"/>
    <x v="162"/>
    <x v="1"/>
    <x v="1"/>
    <x v="0"/>
    <x v="2"/>
    <x v="0"/>
    <x v="0"/>
    <x v="0"/>
    <x v="0"/>
    <x v="0"/>
  </r>
  <r>
    <x v="394"/>
    <x v="41"/>
    <x v="36"/>
    <x v="1"/>
    <x v="2"/>
    <x v="1"/>
    <x v="151"/>
    <x v="779"/>
    <x v="116"/>
    <x v="881"/>
    <x v="3"/>
    <x v="0"/>
    <x v="1"/>
    <x v="2"/>
    <x v="160"/>
    <x v="2"/>
    <x v="0"/>
    <x v="0"/>
    <x v="0"/>
    <x v="1"/>
    <x v="1"/>
    <x v="0"/>
    <x v="1"/>
    <x v="1"/>
  </r>
  <r>
    <x v="395"/>
    <x v="28"/>
    <x v="36"/>
    <x v="0"/>
    <x v="1"/>
    <x v="0"/>
    <x v="189"/>
    <x v="149"/>
    <x v="0"/>
    <x v="302"/>
    <x v="0"/>
    <x v="1"/>
    <x v="0"/>
    <x v="1"/>
    <x v="23"/>
    <x v="2"/>
    <x v="0"/>
    <x v="1"/>
    <x v="0"/>
    <x v="0"/>
    <x v="0"/>
    <x v="0"/>
    <x v="0"/>
    <x v="0"/>
  </r>
  <r>
    <x v="396"/>
    <x v="6"/>
    <x v="21"/>
    <x v="2"/>
    <x v="5"/>
    <x v="0"/>
    <x v="227"/>
    <x v="614"/>
    <x v="102"/>
    <x v="560"/>
    <x v="1"/>
    <x v="0"/>
    <x v="1"/>
    <x v="1"/>
    <x v="179"/>
    <x v="1"/>
    <x v="0"/>
    <x v="1"/>
    <x v="1"/>
    <x v="1"/>
    <x v="1"/>
    <x v="0"/>
    <x v="0"/>
    <x v="0"/>
  </r>
  <r>
    <x v="397"/>
    <x v="48"/>
    <x v="18"/>
    <x v="1"/>
    <x v="3"/>
    <x v="0"/>
    <x v="294"/>
    <x v="382"/>
    <x v="62"/>
    <x v="751"/>
    <x v="0"/>
    <x v="1"/>
    <x v="1"/>
    <x v="2"/>
    <x v="0"/>
    <x v="2"/>
    <x v="1"/>
    <x v="1"/>
    <x v="1"/>
    <x v="1"/>
    <x v="0"/>
    <x v="0"/>
    <x v="0"/>
    <x v="0"/>
  </r>
  <r>
    <x v="398"/>
    <x v="6"/>
    <x v="5"/>
    <x v="2"/>
    <x v="1"/>
    <x v="1"/>
    <x v="410"/>
    <x v="288"/>
    <x v="179"/>
    <x v="532"/>
    <x v="1"/>
    <x v="0"/>
    <x v="0"/>
    <x v="1"/>
    <x v="149"/>
    <x v="1"/>
    <x v="1"/>
    <x v="0"/>
    <x v="2"/>
    <x v="0"/>
    <x v="1"/>
    <x v="0"/>
    <x v="1"/>
    <x v="1"/>
  </r>
  <r>
    <x v="399"/>
    <x v="27"/>
    <x v="47"/>
    <x v="2"/>
    <x v="3"/>
    <x v="0"/>
    <x v="331"/>
    <x v="590"/>
    <x v="185"/>
    <x v="284"/>
    <x v="3"/>
    <x v="0"/>
    <x v="1"/>
    <x v="2"/>
    <x v="216"/>
    <x v="0"/>
    <x v="0"/>
    <x v="2"/>
    <x v="0"/>
    <x v="1"/>
    <x v="1"/>
    <x v="0"/>
    <x v="0"/>
    <x v="0"/>
  </r>
  <r>
    <x v="400"/>
    <x v="10"/>
    <x v="27"/>
    <x v="2"/>
    <x v="3"/>
    <x v="0"/>
    <x v="359"/>
    <x v="296"/>
    <x v="155"/>
    <x v="494"/>
    <x v="0"/>
    <x v="1"/>
    <x v="0"/>
    <x v="1"/>
    <x v="199"/>
    <x v="1"/>
    <x v="1"/>
    <x v="0"/>
    <x v="0"/>
    <x v="0"/>
    <x v="0"/>
    <x v="0"/>
    <x v="0"/>
    <x v="0"/>
  </r>
  <r>
    <x v="401"/>
    <x v="49"/>
    <x v="8"/>
    <x v="0"/>
    <x v="0"/>
    <x v="1"/>
    <x v="411"/>
    <x v="0"/>
    <x v="143"/>
    <x v="83"/>
    <x v="0"/>
    <x v="1"/>
    <x v="3"/>
    <x v="3"/>
    <x v="143"/>
    <x v="2"/>
    <x v="1"/>
    <x v="0"/>
    <x v="1"/>
    <x v="1"/>
    <x v="0"/>
    <x v="1"/>
    <x v="1"/>
    <x v="0"/>
  </r>
  <r>
    <x v="402"/>
    <x v="33"/>
    <x v="28"/>
    <x v="1"/>
    <x v="5"/>
    <x v="1"/>
    <x v="307"/>
    <x v="0"/>
    <x v="13"/>
    <x v="787"/>
    <x v="1"/>
    <x v="0"/>
    <x v="0"/>
    <x v="0"/>
    <x v="178"/>
    <x v="2"/>
    <x v="0"/>
    <x v="1"/>
    <x v="0"/>
    <x v="0"/>
    <x v="1"/>
    <x v="1"/>
    <x v="1"/>
    <x v="0"/>
  </r>
  <r>
    <x v="403"/>
    <x v="29"/>
    <x v="67"/>
    <x v="0"/>
    <x v="2"/>
    <x v="0"/>
    <x v="224"/>
    <x v="716"/>
    <x v="156"/>
    <x v="289"/>
    <x v="1"/>
    <x v="0"/>
    <x v="0"/>
    <x v="1"/>
    <x v="99"/>
    <x v="2"/>
    <x v="0"/>
    <x v="1"/>
    <x v="0"/>
    <x v="0"/>
    <x v="1"/>
    <x v="0"/>
    <x v="0"/>
    <x v="0"/>
  </r>
  <r>
    <x v="404"/>
    <x v="18"/>
    <x v="18"/>
    <x v="0"/>
    <x v="0"/>
    <x v="1"/>
    <x v="366"/>
    <x v="705"/>
    <x v="159"/>
    <x v="143"/>
    <x v="0"/>
    <x v="1"/>
    <x v="2"/>
    <x v="2"/>
    <x v="188"/>
    <x v="0"/>
    <x v="1"/>
    <x v="1"/>
    <x v="1"/>
    <x v="1"/>
    <x v="0"/>
    <x v="0"/>
    <x v="1"/>
    <x v="1"/>
  </r>
  <r>
    <x v="405"/>
    <x v="45"/>
    <x v="64"/>
    <x v="0"/>
    <x v="0"/>
    <x v="0"/>
    <x v="373"/>
    <x v="790"/>
    <x v="202"/>
    <x v="325"/>
    <x v="0"/>
    <x v="1"/>
    <x v="1"/>
    <x v="1"/>
    <x v="194"/>
    <x v="1"/>
    <x v="1"/>
    <x v="0"/>
    <x v="0"/>
    <x v="1"/>
    <x v="0"/>
    <x v="0"/>
    <x v="0"/>
    <x v="0"/>
  </r>
  <r>
    <x v="406"/>
    <x v="12"/>
    <x v="18"/>
    <x v="1"/>
    <x v="3"/>
    <x v="0"/>
    <x v="318"/>
    <x v="397"/>
    <x v="244"/>
    <x v="978"/>
    <x v="1"/>
    <x v="0"/>
    <x v="1"/>
    <x v="1"/>
    <x v="85"/>
    <x v="2"/>
    <x v="0"/>
    <x v="1"/>
    <x v="1"/>
    <x v="1"/>
    <x v="1"/>
    <x v="0"/>
    <x v="0"/>
    <x v="0"/>
  </r>
  <r>
    <x v="407"/>
    <x v="41"/>
    <x v="13"/>
    <x v="0"/>
    <x v="5"/>
    <x v="0"/>
    <x v="52"/>
    <x v="54"/>
    <x v="2"/>
    <x v="200"/>
    <x v="1"/>
    <x v="0"/>
    <x v="0"/>
    <x v="0"/>
    <x v="219"/>
    <x v="2"/>
    <x v="0"/>
    <x v="1"/>
    <x v="1"/>
    <x v="0"/>
    <x v="1"/>
    <x v="0"/>
    <x v="0"/>
    <x v="0"/>
  </r>
  <r>
    <x v="408"/>
    <x v="56"/>
    <x v="18"/>
    <x v="1"/>
    <x v="2"/>
    <x v="1"/>
    <x v="121"/>
    <x v="253"/>
    <x v="88"/>
    <x v="847"/>
    <x v="0"/>
    <x v="1"/>
    <x v="2"/>
    <x v="3"/>
    <x v="218"/>
    <x v="2"/>
    <x v="0"/>
    <x v="0"/>
    <x v="1"/>
    <x v="1"/>
    <x v="0"/>
    <x v="0"/>
    <x v="1"/>
    <x v="1"/>
  </r>
  <r>
    <x v="409"/>
    <x v="15"/>
    <x v="23"/>
    <x v="2"/>
    <x v="0"/>
    <x v="0"/>
    <x v="190"/>
    <x v="406"/>
    <x v="63"/>
    <x v="334"/>
    <x v="0"/>
    <x v="1"/>
    <x v="0"/>
    <x v="0"/>
    <x v="171"/>
    <x v="2"/>
    <x v="1"/>
    <x v="1"/>
    <x v="1"/>
    <x v="0"/>
    <x v="0"/>
    <x v="0"/>
    <x v="0"/>
    <x v="0"/>
  </r>
  <r>
    <x v="410"/>
    <x v="39"/>
    <x v="8"/>
    <x v="1"/>
    <x v="5"/>
    <x v="1"/>
    <x v="336"/>
    <x v="111"/>
    <x v="127"/>
    <x v="731"/>
    <x v="0"/>
    <x v="1"/>
    <x v="1"/>
    <x v="1"/>
    <x v="368"/>
    <x v="2"/>
    <x v="0"/>
    <x v="0"/>
    <x v="1"/>
    <x v="1"/>
    <x v="0"/>
    <x v="0"/>
    <x v="1"/>
    <x v="1"/>
  </r>
  <r>
    <x v="411"/>
    <x v="17"/>
    <x v="42"/>
    <x v="1"/>
    <x v="5"/>
    <x v="1"/>
    <x v="226"/>
    <x v="766"/>
    <x v="116"/>
    <x v="801"/>
    <x v="0"/>
    <x v="1"/>
    <x v="1"/>
    <x v="1"/>
    <x v="172"/>
    <x v="1"/>
    <x v="0"/>
    <x v="0"/>
    <x v="0"/>
    <x v="1"/>
    <x v="0"/>
    <x v="0"/>
    <x v="1"/>
    <x v="1"/>
  </r>
  <r>
    <x v="412"/>
    <x v="53"/>
    <x v="24"/>
    <x v="1"/>
    <x v="2"/>
    <x v="0"/>
    <x v="381"/>
    <x v="383"/>
    <x v="99"/>
    <x v="813"/>
    <x v="0"/>
    <x v="1"/>
    <x v="0"/>
    <x v="1"/>
    <x v="157"/>
    <x v="0"/>
    <x v="0"/>
    <x v="0"/>
    <x v="0"/>
    <x v="0"/>
    <x v="0"/>
    <x v="1"/>
    <x v="0"/>
    <x v="0"/>
  </r>
  <r>
    <x v="413"/>
    <x v="52"/>
    <x v="51"/>
    <x v="1"/>
    <x v="0"/>
    <x v="0"/>
    <x v="401"/>
    <x v="538"/>
    <x v="187"/>
    <x v="849"/>
    <x v="0"/>
    <x v="1"/>
    <x v="0"/>
    <x v="2"/>
    <x v="141"/>
    <x v="0"/>
    <x v="1"/>
    <x v="1"/>
    <x v="0"/>
    <x v="0"/>
    <x v="0"/>
    <x v="0"/>
    <x v="0"/>
    <x v="0"/>
  </r>
  <r>
    <x v="414"/>
    <x v="18"/>
    <x v="35"/>
    <x v="0"/>
    <x v="2"/>
    <x v="0"/>
    <x v="387"/>
    <x v="400"/>
    <x v="40"/>
    <x v="21"/>
    <x v="0"/>
    <x v="1"/>
    <x v="0"/>
    <x v="0"/>
    <x v="78"/>
    <x v="1"/>
    <x v="0"/>
    <x v="0"/>
    <x v="0"/>
    <x v="0"/>
    <x v="0"/>
    <x v="0"/>
    <x v="0"/>
    <x v="0"/>
  </r>
  <r>
    <x v="415"/>
    <x v="13"/>
    <x v="31"/>
    <x v="1"/>
    <x v="3"/>
    <x v="0"/>
    <x v="388"/>
    <x v="53"/>
    <x v="44"/>
    <x v="922"/>
    <x v="0"/>
    <x v="1"/>
    <x v="1"/>
    <x v="2"/>
    <x v="263"/>
    <x v="0"/>
    <x v="0"/>
    <x v="0"/>
    <x v="0"/>
    <x v="1"/>
    <x v="0"/>
    <x v="0"/>
    <x v="0"/>
    <x v="0"/>
  </r>
  <r>
    <x v="416"/>
    <x v="4"/>
    <x v="33"/>
    <x v="2"/>
    <x v="2"/>
    <x v="0"/>
    <x v="95"/>
    <x v="756"/>
    <x v="45"/>
    <x v="982"/>
    <x v="1"/>
    <x v="0"/>
    <x v="1"/>
    <x v="1"/>
    <x v="111"/>
    <x v="1"/>
    <x v="1"/>
    <x v="1"/>
    <x v="0"/>
    <x v="1"/>
    <x v="1"/>
    <x v="0"/>
    <x v="0"/>
    <x v="0"/>
  </r>
  <r>
    <x v="417"/>
    <x v="40"/>
    <x v="11"/>
    <x v="2"/>
    <x v="5"/>
    <x v="0"/>
    <x v="294"/>
    <x v="431"/>
    <x v="90"/>
    <x v="715"/>
    <x v="0"/>
    <x v="1"/>
    <x v="1"/>
    <x v="2"/>
    <x v="125"/>
    <x v="0"/>
    <x v="0"/>
    <x v="1"/>
    <x v="1"/>
    <x v="1"/>
    <x v="0"/>
    <x v="0"/>
    <x v="0"/>
    <x v="0"/>
  </r>
  <r>
    <x v="418"/>
    <x v="53"/>
    <x v="51"/>
    <x v="1"/>
    <x v="2"/>
    <x v="1"/>
    <x v="148"/>
    <x v="299"/>
    <x v="31"/>
    <x v="776"/>
    <x v="1"/>
    <x v="0"/>
    <x v="0"/>
    <x v="0"/>
    <x v="128"/>
    <x v="0"/>
    <x v="0"/>
    <x v="0"/>
    <x v="0"/>
    <x v="0"/>
    <x v="1"/>
    <x v="0"/>
    <x v="1"/>
    <x v="1"/>
  </r>
  <r>
    <x v="419"/>
    <x v="8"/>
    <x v="7"/>
    <x v="1"/>
    <x v="0"/>
    <x v="1"/>
    <x v="37"/>
    <x v="539"/>
    <x v="112"/>
    <x v="876"/>
    <x v="1"/>
    <x v="0"/>
    <x v="2"/>
    <x v="2"/>
    <x v="77"/>
    <x v="3"/>
    <x v="1"/>
    <x v="0"/>
    <x v="1"/>
    <x v="1"/>
    <x v="1"/>
    <x v="0"/>
    <x v="1"/>
    <x v="1"/>
  </r>
  <r>
    <x v="420"/>
    <x v="47"/>
    <x v="51"/>
    <x v="2"/>
    <x v="5"/>
    <x v="1"/>
    <x v="188"/>
    <x v="202"/>
    <x v="103"/>
    <x v="586"/>
    <x v="0"/>
    <x v="1"/>
    <x v="0"/>
    <x v="1"/>
    <x v="10"/>
    <x v="2"/>
    <x v="1"/>
    <x v="1"/>
    <x v="0"/>
    <x v="0"/>
    <x v="0"/>
    <x v="0"/>
    <x v="1"/>
    <x v="1"/>
  </r>
  <r>
    <x v="421"/>
    <x v="43"/>
    <x v="71"/>
    <x v="2"/>
    <x v="2"/>
    <x v="1"/>
    <x v="402"/>
    <x v="454"/>
    <x v="60"/>
    <x v="718"/>
    <x v="1"/>
    <x v="0"/>
    <x v="1"/>
    <x v="1"/>
    <x v="136"/>
    <x v="0"/>
    <x v="0"/>
    <x v="0"/>
    <x v="0"/>
    <x v="1"/>
    <x v="1"/>
    <x v="0"/>
    <x v="1"/>
    <x v="1"/>
  </r>
  <r>
    <x v="422"/>
    <x v="27"/>
    <x v="55"/>
    <x v="2"/>
    <x v="2"/>
    <x v="0"/>
    <x v="291"/>
    <x v="28"/>
    <x v="176"/>
    <x v="565"/>
    <x v="0"/>
    <x v="1"/>
    <x v="0"/>
    <x v="0"/>
    <x v="282"/>
    <x v="1"/>
    <x v="0"/>
    <x v="0"/>
    <x v="0"/>
    <x v="0"/>
    <x v="0"/>
    <x v="1"/>
    <x v="0"/>
    <x v="0"/>
  </r>
  <r>
    <x v="423"/>
    <x v="12"/>
    <x v="32"/>
    <x v="2"/>
    <x v="2"/>
    <x v="0"/>
    <x v="452"/>
    <x v="679"/>
    <x v="111"/>
    <x v="606"/>
    <x v="1"/>
    <x v="0"/>
    <x v="0"/>
    <x v="0"/>
    <x v="211"/>
    <x v="0"/>
    <x v="0"/>
    <x v="1"/>
    <x v="0"/>
    <x v="0"/>
    <x v="1"/>
    <x v="0"/>
    <x v="0"/>
    <x v="0"/>
  </r>
  <r>
    <x v="424"/>
    <x v="37"/>
    <x v="22"/>
    <x v="2"/>
    <x v="1"/>
    <x v="0"/>
    <x v="254"/>
    <x v="366"/>
    <x v="189"/>
    <x v="518"/>
    <x v="1"/>
    <x v="0"/>
    <x v="0"/>
    <x v="0"/>
    <x v="184"/>
    <x v="2"/>
    <x v="1"/>
    <x v="0"/>
    <x v="1"/>
    <x v="0"/>
    <x v="1"/>
    <x v="0"/>
    <x v="0"/>
    <x v="0"/>
  </r>
  <r>
    <x v="425"/>
    <x v="34"/>
    <x v="62"/>
    <x v="2"/>
    <x v="5"/>
    <x v="1"/>
    <x v="463"/>
    <x v="693"/>
    <x v="101"/>
    <x v="386"/>
    <x v="0"/>
    <x v="1"/>
    <x v="0"/>
    <x v="0"/>
    <x v="184"/>
    <x v="0"/>
    <x v="0"/>
    <x v="2"/>
    <x v="0"/>
    <x v="0"/>
    <x v="0"/>
    <x v="0"/>
    <x v="1"/>
    <x v="1"/>
  </r>
  <r>
    <x v="426"/>
    <x v="47"/>
    <x v="18"/>
    <x v="0"/>
    <x v="3"/>
    <x v="0"/>
    <x v="254"/>
    <x v="330"/>
    <x v="113"/>
    <x v="39"/>
    <x v="1"/>
    <x v="0"/>
    <x v="1"/>
    <x v="3"/>
    <x v="246"/>
    <x v="2"/>
    <x v="0"/>
    <x v="1"/>
    <x v="1"/>
    <x v="1"/>
    <x v="1"/>
    <x v="0"/>
    <x v="0"/>
    <x v="0"/>
  </r>
  <r>
    <x v="427"/>
    <x v="32"/>
    <x v="34"/>
    <x v="0"/>
    <x v="5"/>
    <x v="0"/>
    <x v="231"/>
    <x v="354"/>
    <x v="76"/>
    <x v="9"/>
    <x v="3"/>
    <x v="0"/>
    <x v="0"/>
    <x v="1"/>
    <x v="352"/>
    <x v="1"/>
    <x v="0"/>
    <x v="0"/>
    <x v="0"/>
    <x v="0"/>
    <x v="1"/>
    <x v="0"/>
    <x v="0"/>
    <x v="0"/>
  </r>
  <r>
    <x v="428"/>
    <x v="2"/>
    <x v="55"/>
    <x v="1"/>
    <x v="2"/>
    <x v="0"/>
    <x v="69"/>
    <x v="66"/>
    <x v="115"/>
    <x v="760"/>
    <x v="2"/>
    <x v="0"/>
    <x v="0"/>
    <x v="0"/>
    <x v="184"/>
    <x v="0"/>
    <x v="1"/>
    <x v="0"/>
    <x v="0"/>
    <x v="0"/>
    <x v="1"/>
    <x v="0"/>
    <x v="0"/>
    <x v="0"/>
  </r>
  <r>
    <x v="429"/>
    <x v="11"/>
    <x v="66"/>
    <x v="2"/>
    <x v="5"/>
    <x v="0"/>
    <x v="377"/>
    <x v="620"/>
    <x v="165"/>
    <x v="583"/>
    <x v="0"/>
    <x v="1"/>
    <x v="0"/>
    <x v="0"/>
    <x v="195"/>
    <x v="3"/>
    <x v="1"/>
    <x v="1"/>
    <x v="0"/>
    <x v="0"/>
    <x v="0"/>
    <x v="0"/>
    <x v="0"/>
    <x v="0"/>
  </r>
  <r>
    <x v="430"/>
    <x v="22"/>
    <x v="66"/>
    <x v="1"/>
    <x v="0"/>
    <x v="1"/>
    <x v="163"/>
    <x v="131"/>
    <x v="86"/>
    <x v="947"/>
    <x v="0"/>
    <x v="1"/>
    <x v="1"/>
    <x v="1"/>
    <x v="186"/>
    <x v="2"/>
    <x v="0"/>
    <x v="0"/>
    <x v="0"/>
    <x v="1"/>
    <x v="0"/>
    <x v="0"/>
    <x v="1"/>
    <x v="1"/>
  </r>
  <r>
    <x v="431"/>
    <x v="28"/>
    <x v="6"/>
    <x v="2"/>
    <x v="5"/>
    <x v="0"/>
    <x v="142"/>
    <x v="227"/>
    <x v="151"/>
    <x v="566"/>
    <x v="1"/>
    <x v="0"/>
    <x v="0"/>
    <x v="0"/>
    <x v="336"/>
    <x v="0"/>
    <x v="0"/>
    <x v="0"/>
    <x v="1"/>
    <x v="0"/>
    <x v="1"/>
    <x v="0"/>
    <x v="0"/>
    <x v="0"/>
  </r>
  <r>
    <x v="432"/>
    <x v="20"/>
    <x v="64"/>
    <x v="0"/>
    <x v="5"/>
    <x v="0"/>
    <x v="397"/>
    <x v="404"/>
    <x v="58"/>
    <x v="60"/>
    <x v="0"/>
    <x v="1"/>
    <x v="0"/>
    <x v="1"/>
    <x v="187"/>
    <x v="2"/>
    <x v="1"/>
    <x v="1"/>
    <x v="0"/>
    <x v="0"/>
    <x v="0"/>
    <x v="0"/>
    <x v="0"/>
    <x v="0"/>
  </r>
  <r>
    <x v="433"/>
    <x v="50"/>
    <x v="8"/>
    <x v="0"/>
    <x v="5"/>
    <x v="1"/>
    <x v="384"/>
    <x v="444"/>
    <x v="168"/>
    <x v="219"/>
    <x v="3"/>
    <x v="0"/>
    <x v="1"/>
    <x v="1"/>
    <x v="115"/>
    <x v="0"/>
    <x v="0"/>
    <x v="1"/>
    <x v="1"/>
    <x v="1"/>
    <x v="1"/>
    <x v="0"/>
    <x v="1"/>
    <x v="1"/>
  </r>
  <r>
    <x v="434"/>
    <x v="16"/>
    <x v="42"/>
    <x v="0"/>
    <x v="2"/>
    <x v="0"/>
    <x v="380"/>
    <x v="5"/>
    <x v="74"/>
    <x v="209"/>
    <x v="0"/>
    <x v="1"/>
    <x v="2"/>
    <x v="3"/>
    <x v="254"/>
    <x v="1"/>
    <x v="1"/>
    <x v="0"/>
    <x v="0"/>
    <x v="1"/>
    <x v="0"/>
    <x v="1"/>
    <x v="0"/>
    <x v="0"/>
  </r>
  <r>
    <x v="435"/>
    <x v="39"/>
    <x v="66"/>
    <x v="1"/>
    <x v="3"/>
    <x v="0"/>
    <x v="178"/>
    <x v="319"/>
    <x v="175"/>
    <x v="891"/>
    <x v="0"/>
    <x v="1"/>
    <x v="0"/>
    <x v="0"/>
    <x v="95"/>
    <x v="0"/>
    <x v="1"/>
    <x v="0"/>
    <x v="0"/>
    <x v="0"/>
    <x v="0"/>
    <x v="0"/>
    <x v="0"/>
    <x v="0"/>
  </r>
  <r>
    <x v="436"/>
    <x v="20"/>
    <x v="47"/>
    <x v="0"/>
    <x v="2"/>
    <x v="0"/>
    <x v="222"/>
    <x v="625"/>
    <x v="119"/>
    <x v="257"/>
    <x v="0"/>
    <x v="1"/>
    <x v="1"/>
    <x v="1"/>
    <x v="247"/>
    <x v="0"/>
    <x v="1"/>
    <x v="0"/>
    <x v="0"/>
    <x v="1"/>
    <x v="0"/>
    <x v="0"/>
    <x v="0"/>
    <x v="0"/>
  </r>
  <r>
    <x v="437"/>
    <x v="57"/>
    <x v="68"/>
    <x v="2"/>
    <x v="1"/>
    <x v="1"/>
    <x v="221"/>
    <x v="268"/>
    <x v="220"/>
    <x v="673"/>
    <x v="1"/>
    <x v="0"/>
    <x v="2"/>
    <x v="2"/>
    <x v="235"/>
    <x v="0"/>
    <x v="0"/>
    <x v="0"/>
    <x v="0"/>
    <x v="1"/>
    <x v="1"/>
    <x v="0"/>
    <x v="1"/>
    <x v="1"/>
  </r>
  <r>
    <x v="438"/>
    <x v="53"/>
    <x v="24"/>
    <x v="1"/>
    <x v="5"/>
    <x v="0"/>
    <x v="336"/>
    <x v="322"/>
    <x v="36"/>
    <x v="910"/>
    <x v="0"/>
    <x v="1"/>
    <x v="1"/>
    <x v="1"/>
    <x v="168"/>
    <x v="1"/>
    <x v="1"/>
    <x v="0"/>
    <x v="0"/>
    <x v="1"/>
    <x v="0"/>
    <x v="0"/>
    <x v="0"/>
    <x v="0"/>
  </r>
  <r>
    <x v="439"/>
    <x v="45"/>
    <x v="22"/>
    <x v="1"/>
    <x v="5"/>
    <x v="0"/>
    <x v="421"/>
    <x v="457"/>
    <x v="15"/>
    <x v="832"/>
    <x v="0"/>
    <x v="1"/>
    <x v="0"/>
    <x v="0"/>
    <x v="251"/>
    <x v="0"/>
    <x v="0"/>
    <x v="1"/>
    <x v="1"/>
    <x v="0"/>
    <x v="0"/>
    <x v="0"/>
    <x v="0"/>
    <x v="0"/>
  </r>
  <r>
    <x v="440"/>
    <x v="44"/>
    <x v="23"/>
    <x v="0"/>
    <x v="0"/>
    <x v="0"/>
    <x v="277"/>
    <x v="357"/>
    <x v="72"/>
    <x v="232"/>
    <x v="0"/>
    <x v="1"/>
    <x v="0"/>
    <x v="0"/>
    <x v="28"/>
    <x v="1"/>
    <x v="3"/>
    <x v="0"/>
    <x v="1"/>
    <x v="0"/>
    <x v="0"/>
    <x v="0"/>
    <x v="0"/>
    <x v="0"/>
  </r>
  <r>
    <x v="441"/>
    <x v="37"/>
    <x v="25"/>
    <x v="0"/>
    <x v="2"/>
    <x v="0"/>
    <x v="449"/>
    <x v="104"/>
    <x v="21"/>
    <x v="190"/>
    <x v="1"/>
    <x v="0"/>
    <x v="1"/>
    <x v="1"/>
    <x v="207"/>
    <x v="1"/>
    <x v="0"/>
    <x v="1"/>
    <x v="0"/>
    <x v="1"/>
    <x v="1"/>
    <x v="0"/>
    <x v="0"/>
    <x v="0"/>
  </r>
  <r>
    <x v="442"/>
    <x v="34"/>
    <x v="49"/>
    <x v="0"/>
    <x v="5"/>
    <x v="0"/>
    <x v="351"/>
    <x v="392"/>
    <x v="21"/>
    <x v="113"/>
    <x v="0"/>
    <x v="1"/>
    <x v="1"/>
    <x v="2"/>
    <x v="136"/>
    <x v="0"/>
    <x v="0"/>
    <x v="1"/>
    <x v="0"/>
    <x v="1"/>
    <x v="0"/>
    <x v="0"/>
    <x v="0"/>
    <x v="0"/>
  </r>
  <r>
    <x v="443"/>
    <x v="32"/>
    <x v="32"/>
    <x v="0"/>
    <x v="2"/>
    <x v="0"/>
    <x v="196"/>
    <x v="661"/>
    <x v="159"/>
    <x v="124"/>
    <x v="0"/>
    <x v="1"/>
    <x v="1"/>
    <x v="2"/>
    <x v="375"/>
    <x v="1"/>
    <x v="0"/>
    <x v="0"/>
    <x v="0"/>
    <x v="1"/>
    <x v="0"/>
    <x v="0"/>
    <x v="0"/>
    <x v="0"/>
  </r>
  <r>
    <x v="444"/>
    <x v="1"/>
    <x v="53"/>
    <x v="0"/>
    <x v="3"/>
    <x v="1"/>
    <x v="342"/>
    <x v="97"/>
    <x v="115"/>
    <x v="62"/>
    <x v="0"/>
    <x v="1"/>
    <x v="1"/>
    <x v="1"/>
    <x v="206"/>
    <x v="0"/>
    <x v="0"/>
    <x v="0"/>
    <x v="0"/>
    <x v="1"/>
    <x v="0"/>
    <x v="0"/>
    <x v="1"/>
    <x v="1"/>
  </r>
  <r>
    <x v="445"/>
    <x v="54"/>
    <x v="29"/>
    <x v="2"/>
    <x v="5"/>
    <x v="0"/>
    <x v="432"/>
    <x v="270"/>
    <x v="81"/>
    <x v="358"/>
    <x v="0"/>
    <x v="1"/>
    <x v="0"/>
    <x v="0"/>
    <x v="121"/>
    <x v="0"/>
    <x v="0"/>
    <x v="0"/>
    <x v="0"/>
    <x v="0"/>
    <x v="0"/>
    <x v="0"/>
    <x v="0"/>
    <x v="0"/>
  </r>
  <r>
    <x v="446"/>
    <x v="56"/>
    <x v="22"/>
    <x v="1"/>
    <x v="4"/>
    <x v="0"/>
    <x v="451"/>
    <x v="36"/>
    <x v="88"/>
    <x v="752"/>
    <x v="1"/>
    <x v="0"/>
    <x v="1"/>
    <x v="2"/>
    <x v="40"/>
    <x v="0"/>
    <x v="0"/>
    <x v="1"/>
    <x v="1"/>
    <x v="1"/>
    <x v="1"/>
    <x v="1"/>
    <x v="0"/>
    <x v="0"/>
  </r>
  <r>
    <x v="447"/>
    <x v="30"/>
    <x v="13"/>
    <x v="2"/>
    <x v="1"/>
    <x v="0"/>
    <x v="386"/>
    <x v="653"/>
    <x v="73"/>
    <x v="379"/>
    <x v="0"/>
    <x v="1"/>
    <x v="0"/>
    <x v="0"/>
    <x v="320"/>
    <x v="0"/>
    <x v="0"/>
    <x v="0"/>
    <x v="1"/>
    <x v="0"/>
    <x v="0"/>
    <x v="0"/>
    <x v="0"/>
    <x v="0"/>
  </r>
  <r>
    <x v="448"/>
    <x v="50"/>
    <x v="39"/>
    <x v="2"/>
    <x v="2"/>
    <x v="0"/>
    <x v="232"/>
    <x v="370"/>
    <x v="228"/>
    <x v="617"/>
    <x v="1"/>
    <x v="0"/>
    <x v="1"/>
    <x v="3"/>
    <x v="149"/>
    <x v="1"/>
    <x v="1"/>
    <x v="0"/>
    <x v="0"/>
    <x v="1"/>
    <x v="1"/>
    <x v="0"/>
    <x v="0"/>
    <x v="0"/>
  </r>
  <r>
    <x v="449"/>
    <x v="23"/>
    <x v="64"/>
    <x v="0"/>
    <x v="1"/>
    <x v="0"/>
    <x v="198"/>
    <x v="138"/>
    <x v="64"/>
    <x v="35"/>
    <x v="0"/>
    <x v="1"/>
    <x v="0"/>
    <x v="1"/>
    <x v="98"/>
    <x v="0"/>
    <x v="0"/>
    <x v="0"/>
    <x v="0"/>
    <x v="0"/>
    <x v="0"/>
    <x v="0"/>
    <x v="0"/>
    <x v="0"/>
  </r>
  <r>
    <x v="450"/>
    <x v="6"/>
    <x v="61"/>
    <x v="1"/>
    <x v="2"/>
    <x v="0"/>
    <x v="308"/>
    <x v="435"/>
    <x v="24"/>
    <x v="924"/>
    <x v="0"/>
    <x v="1"/>
    <x v="0"/>
    <x v="1"/>
    <x v="227"/>
    <x v="1"/>
    <x v="1"/>
    <x v="0"/>
    <x v="0"/>
    <x v="0"/>
    <x v="0"/>
    <x v="0"/>
    <x v="0"/>
    <x v="0"/>
  </r>
  <r>
    <x v="451"/>
    <x v="48"/>
    <x v="18"/>
    <x v="2"/>
    <x v="0"/>
    <x v="0"/>
    <x v="430"/>
    <x v="68"/>
    <x v="171"/>
    <x v="729"/>
    <x v="0"/>
    <x v="1"/>
    <x v="2"/>
    <x v="3"/>
    <x v="259"/>
    <x v="0"/>
    <x v="0"/>
    <x v="0"/>
    <x v="1"/>
    <x v="1"/>
    <x v="0"/>
    <x v="0"/>
    <x v="0"/>
    <x v="0"/>
  </r>
  <r>
    <x v="452"/>
    <x v="29"/>
    <x v="34"/>
    <x v="1"/>
    <x v="4"/>
    <x v="1"/>
    <x v="287"/>
    <x v="103"/>
    <x v="100"/>
    <x v="895"/>
    <x v="0"/>
    <x v="1"/>
    <x v="0"/>
    <x v="0"/>
    <x v="257"/>
    <x v="1"/>
    <x v="1"/>
    <x v="0"/>
    <x v="0"/>
    <x v="0"/>
    <x v="0"/>
    <x v="0"/>
    <x v="1"/>
    <x v="0"/>
  </r>
  <r>
    <x v="453"/>
    <x v="54"/>
    <x v="50"/>
    <x v="1"/>
    <x v="2"/>
    <x v="1"/>
    <x v="290"/>
    <x v="23"/>
    <x v="240"/>
    <x v="823"/>
    <x v="2"/>
    <x v="0"/>
    <x v="1"/>
    <x v="1"/>
    <x v="189"/>
    <x v="1"/>
    <x v="1"/>
    <x v="1"/>
    <x v="0"/>
    <x v="1"/>
    <x v="1"/>
    <x v="1"/>
    <x v="1"/>
    <x v="1"/>
  </r>
  <r>
    <x v="454"/>
    <x v="12"/>
    <x v="44"/>
    <x v="0"/>
    <x v="2"/>
    <x v="0"/>
    <x v="236"/>
    <x v="95"/>
    <x v="78"/>
    <x v="87"/>
    <x v="1"/>
    <x v="0"/>
    <x v="2"/>
    <x v="3"/>
    <x v="206"/>
    <x v="2"/>
    <x v="0"/>
    <x v="0"/>
    <x v="0"/>
    <x v="1"/>
    <x v="1"/>
    <x v="0"/>
    <x v="0"/>
    <x v="0"/>
  </r>
  <r>
    <x v="455"/>
    <x v="27"/>
    <x v="4"/>
    <x v="0"/>
    <x v="2"/>
    <x v="0"/>
    <x v="182"/>
    <x v="725"/>
    <x v="174"/>
    <x v="25"/>
    <x v="0"/>
    <x v="1"/>
    <x v="0"/>
    <x v="1"/>
    <x v="215"/>
    <x v="0"/>
    <x v="1"/>
    <x v="0"/>
    <x v="2"/>
    <x v="0"/>
    <x v="0"/>
    <x v="0"/>
    <x v="0"/>
    <x v="0"/>
  </r>
  <r>
    <x v="456"/>
    <x v="38"/>
    <x v="42"/>
    <x v="0"/>
    <x v="0"/>
    <x v="0"/>
    <x v="207"/>
    <x v="166"/>
    <x v="191"/>
    <x v="295"/>
    <x v="0"/>
    <x v="1"/>
    <x v="0"/>
    <x v="0"/>
    <x v="227"/>
    <x v="2"/>
    <x v="1"/>
    <x v="2"/>
    <x v="0"/>
    <x v="0"/>
    <x v="0"/>
    <x v="0"/>
    <x v="0"/>
    <x v="0"/>
  </r>
  <r>
    <x v="457"/>
    <x v="7"/>
    <x v="2"/>
    <x v="2"/>
    <x v="1"/>
    <x v="0"/>
    <x v="247"/>
    <x v="534"/>
    <x v="79"/>
    <x v="465"/>
    <x v="0"/>
    <x v="1"/>
    <x v="1"/>
    <x v="1"/>
    <x v="236"/>
    <x v="1"/>
    <x v="2"/>
    <x v="0"/>
    <x v="2"/>
    <x v="1"/>
    <x v="0"/>
    <x v="0"/>
    <x v="0"/>
    <x v="0"/>
  </r>
  <r>
    <x v="458"/>
    <x v="57"/>
    <x v="8"/>
    <x v="1"/>
    <x v="5"/>
    <x v="0"/>
    <x v="434"/>
    <x v="141"/>
    <x v="63"/>
    <x v="979"/>
    <x v="0"/>
    <x v="1"/>
    <x v="4"/>
    <x v="4"/>
    <x v="301"/>
    <x v="1"/>
    <x v="2"/>
    <x v="0"/>
    <x v="1"/>
    <x v="1"/>
    <x v="0"/>
    <x v="0"/>
    <x v="0"/>
    <x v="0"/>
  </r>
  <r>
    <x v="459"/>
    <x v="35"/>
    <x v="47"/>
    <x v="2"/>
    <x v="5"/>
    <x v="1"/>
    <x v="195"/>
    <x v="620"/>
    <x v="167"/>
    <x v="761"/>
    <x v="2"/>
    <x v="0"/>
    <x v="1"/>
    <x v="3"/>
    <x v="194"/>
    <x v="1"/>
    <x v="2"/>
    <x v="0"/>
    <x v="0"/>
    <x v="1"/>
    <x v="1"/>
    <x v="0"/>
    <x v="1"/>
    <x v="1"/>
  </r>
  <r>
    <x v="460"/>
    <x v="9"/>
    <x v="7"/>
    <x v="1"/>
    <x v="1"/>
    <x v="0"/>
    <x v="236"/>
    <x v="105"/>
    <x v="155"/>
    <x v="933"/>
    <x v="1"/>
    <x v="0"/>
    <x v="0"/>
    <x v="0"/>
    <x v="95"/>
    <x v="1"/>
    <x v="0"/>
    <x v="2"/>
    <x v="1"/>
    <x v="0"/>
    <x v="1"/>
    <x v="0"/>
    <x v="0"/>
    <x v="0"/>
  </r>
  <r>
    <x v="461"/>
    <x v="42"/>
    <x v="24"/>
    <x v="2"/>
    <x v="2"/>
    <x v="0"/>
    <x v="117"/>
    <x v="417"/>
    <x v="19"/>
    <x v="382"/>
    <x v="1"/>
    <x v="0"/>
    <x v="0"/>
    <x v="0"/>
    <x v="172"/>
    <x v="4"/>
    <x v="0"/>
    <x v="1"/>
    <x v="0"/>
    <x v="0"/>
    <x v="1"/>
    <x v="0"/>
    <x v="0"/>
    <x v="0"/>
  </r>
  <r>
    <x v="462"/>
    <x v="50"/>
    <x v="42"/>
    <x v="0"/>
    <x v="0"/>
    <x v="0"/>
    <x v="328"/>
    <x v="383"/>
    <x v="38"/>
    <x v="37"/>
    <x v="0"/>
    <x v="1"/>
    <x v="0"/>
    <x v="2"/>
    <x v="269"/>
    <x v="1"/>
    <x v="1"/>
    <x v="1"/>
    <x v="0"/>
    <x v="0"/>
    <x v="0"/>
    <x v="1"/>
    <x v="0"/>
    <x v="0"/>
  </r>
  <r>
    <x v="463"/>
    <x v="21"/>
    <x v="47"/>
    <x v="0"/>
    <x v="3"/>
    <x v="0"/>
    <x v="405"/>
    <x v="803"/>
    <x v="0"/>
    <x v="238"/>
    <x v="1"/>
    <x v="0"/>
    <x v="0"/>
    <x v="0"/>
    <x v="8"/>
    <x v="2"/>
    <x v="1"/>
    <x v="0"/>
    <x v="0"/>
    <x v="0"/>
    <x v="1"/>
    <x v="0"/>
    <x v="0"/>
    <x v="0"/>
  </r>
  <r>
    <x v="464"/>
    <x v="35"/>
    <x v="32"/>
    <x v="2"/>
    <x v="1"/>
    <x v="0"/>
    <x v="426"/>
    <x v="589"/>
    <x v="157"/>
    <x v="685"/>
    <x v="0"/>
    <x v="1"/>
    <x v="1"/>
    <x v="2"/>
    <x v="8"/>
    <x v="1"/>
    <x v="0"/>
    <x v="1"/>
    <x v="0"/>
    <x v="1"/>
    <x v="0"/>
    <x v="0"/>
    <x v="0"/>
    <x v="0"/>
  </r>
  <r>
    <x v="465"/>
    <x v="43"/>
    <x v="6"/>
    <x v="2"/>
    <x v="5"/>
    <x v="1"/>
    <x v="258"/>
    <x v="200"/>
    <x v="97"/>
    <x v="755"/>
    <x v="0"/>
    <x v="1"/>
    <x v="0"/>
    <x v="0"/>
    <x v="184"/>
    <x v="3"/>
    <x v="0"/>
    <x v="0"/>
    <x v="1"/>
    <x v="0"/>
    <x v="0"/>
    <x v="0"/>
    <x v="1"/>
    <x v="1"/>
  </r>
  <r>
    <x v="466"/>
    <x v="8"/>
    <x v="57"/>
    <x v="2"/>
    <x v="5"/>
    <x v="1"/>
    <x v="308"/>
    <x v="603"/>
    <x v="104"/>
    <x v="433"/>
    <x v="0"/>
    <x v="1"/>
    <x v="1"/>
    <x v="1"/>
    <x v="334"/>
    <x v="2"/>
    <x v="1"/>
    <x v="0"/>
    <x v="0"/>
    <x v="1"/>
    <x v="0"/>
    <x v="0"/>
    <x v="1"/>
    <x v="1"/>
  </r>
  <r>
    <x v="467"/>
    <x v="30"/>
    <x v="68"/>
    <x v="0"/>
    <x v="0"/>
    <x v="0"/>
    <x v="208"/>
    <x v="800"/>
    <x v="2"/>
    <x v="1"/>
    <x v="0"/>
    <x v="1"/>
    <x v="0"/>
    <x v="1"/>
    <x v="52"/>
    <x v="2"/>
    <x v="1"/>
    <x v="1"/>
    <x v="0"/>
    <x v="0"/>
    <x v="0"/>
    <x v="0"/>
    <x v="0"/>
    <x v="0"/>
  </r>
  <r>
    <x v="468"/>
    <x v="32"/>
    <x v="63"/>
    <x v="2"/>
    <x v="2"/>
    <x v="0"/>
    <x v="301"/>
    <x v="9"/>
    <x v="40"/>
    <x v="300"/>
    <x v="0"/>
    <x v="1"/>
    <x v="0"/>
    <x v="0"/>
    <x v="199"/>
    <x v="3"/>
    <x v="1"/>
    <x v="0"/>
    <x v="0"/>
    <x v="0"/>
    <x v="0"/>
    <x v="1"/>
    <x v="0"/>
    <x v="0"/>
  </r>
  <r>
    <x v="469"/>
    <x v="17"/>
    <x v="53"/>
    <x v="0"/>
    <x v="1"/>
    <x v="1"/>
    <x v="270"/>
    <x v="139"/>
    <x v="82"/>
    <x v="345"/>
    <x v="0"/>
    <x v="1"/>
    <x v="0"/>
    <x v="1"/>
    <x v="144"/>
    <x v="0"/>
    <x v="0"/>
    <x v="1"/>
    <x v="0"/>
    <x v="0"/>
    <x v="0"/>
    <x v="0"/>
    <x v="1"/>
    <x v="1"/>
  </r>
  <r>
    <x v="470"/>
    <x v="17"/>
    <x v="28"/>
    <x v="1"/>
    <x v="3"/>
    <x v="0"/>
    <x v="237"/>
    <x v="315"/>
    <x v="68"/>
    <x v="690"/>
    <x v="0"/>
    <x v="1"/>
    <x v="0"/>
    <x v="0"/>
    <x v="160"/>
    <x v="2"/>
    <x v="1"/>
    <x v="0"/>
    <x v="0"/>
    <x v="0"/>
    <x v="0"/>
    <x v="0"/>
    <x v="0"/>
    <x v="0"/>
  </r>
  <r>
    <x v="471"/>
    <x v="36"/>
    <x v="63"/>
    <x v="0"/>
    <x v="1"/>
    <x v="0"/>
    <x v="248"/>
    <x v="255"/>
    <x v="123"/>
    <x v="341"/>
    <x v="0"/>
    <x v="1"/>
    <x v="0"/>
    <x v="1"/>
    <x v="224"/>
    <x v="1"/>
    <x v="0"/>
    <x v="0"/>
    <x v="0"/>
    <x v="0"/>
    <x v="0"/>
    <x v="0"/>
    <x v="0"/>
    <x v="0"/>
  </r>
  <r>
    <x v="472"/>
    <x v="43"/>
    <x v="35"/>
    <x v="0"/>
    <x v="2"/>
    <x v="1"/>
    <x v="290"/>
    <x v="286"/>
    <x v="156"/>
    <x v="43"/>
    <x v="0"/>
    <x v="1"/>
    <x v="0"/>
    <x v="0"/>
    <x v="49"/>
    <x v="0"/>
    <x v="1"/>
    <x v="1"/>
    <x v="0"/>
    <x v="0"/>
    <x v="0"/>
    <x v="0"/>
    <x v="1"/>
    <x v="1"/>
  </r>
  <r>
    <x v="473"/>
    <x v="22"/>
    <x v="9"/>
    <x v="2"/>
    <x v="2"/>
    <x v="0"/>
    <x v="187"/>
    <x v="52"/>
    <x v="250"/>
    <x v="581"/>
    <x v="1"/>
    <x v="0"/>
    <x v="0"/>
    <x v="0"/>
    <x v="67"/>
    <x v="3"/>
    <x v="0"/>
    <x v="0"/>
    <x v="1"/>
    <x v="0"/>
    <x v="1"/>
    <x v="1"/>
    <x v="0"/>
    <x v="0"/>
  </r>
  <r>
    <x v="474"/>
    <x v="8"/>
    <x v="61"/>
    <x v="2"/>
    <x v="3"/>
    <x v="0"/>
    <x v="195"/>
    <x v="733"/>
    <x v="114"/>
    <x v="567"/>
    <x v="0"/>
    <x v="1"/>
    <x v="1"/>
    <x v="2"/>
    <x v="155"/>
    <x v="1"/>
    <x v="1"/>
    <x v="0"/>
    <x v="0"/>
    <x v="1"/>
    <x v="0"/>
    <x v="0"/>
    <x v="0"/>
    <x v="0"/>
  </r>
  <r>
    <x v="475"/>
    <x v="45"/>
    <x v="23"/>
    <x v="2"/>
    <x v="3"/>
    <x v="1"/>
    <x v="432"/>
    <x v="29"/>
    <x v="193"/>
    <x v="454"/>
    <x v="0"/>
    <x v="1"/>
    <x v="3"/>
    <x v="3"/>
    <x v="172"/>
    <x v="1"/>
    <x v="0"/>
    <x v="2"/>
    <x v="1"/>
    <x v="1"/>
    <x v="0"/>
    <x v="1"/>
    <x v="1"/>
    <x v="1"/>
  </r>
  <r>
    <x v="476"/>
    <x v="10"/>
    <x v="67"/>
    <x v="2"/>
    <x v="3"/>
    <x v="0"/>
    <x v="470"/>
    <x v="331"/>
    <x v="57"/>
    <x v="377"/>
    <x v="0"/>
    <x v="1"/>
    <x v="1"/>
    <x v="1"/>
    <x v="65"/>
    <x v="0"/>
    <x v="0"/>
    <x v="2"/>
    <x v="0"/>
    <x v="1"/>
    <x v="0"/>
    <x v="0"/>
    <x v="0"/>
    <x v="0"/>
  </r>
  <r>
    <x v="477"/>
    <x v="0"/>
    <x v="26"/>
    <x v="1"/>
    <x v="1"/>
    <x v="0"/>
    <x v="75"/>
    <x v="668"/>
    <x v="3"/>
    <x v="741"/>
    <x v="0"/>
    <x v="1"/>
    <x v="2"/>
    <x v="3"/>
    <x v="274"/>
    <x v="2"/>
    <x v="2"/>
    <x v="0"/>
    <x v="0"/>
    <x v="1"/>
    <x v="0"/>
    <x v="0"/>
    <x v="0"/>
    <x v="0"/>
  </r>
  <r>
    <x v="478"/>
    <x v="18"/>
    <x v="62"/>
    <x v="2"/>
    <x v="5"/>
    <x v="0"/>
    <x v="71"/>
    <x v="394"/>
    <x v="90"/>
    <x v="516"/>
    <x v="0"/>
    <x v="1"/>
    <x v="1"/>
    <x v="1"/>
    <x v="142"/>
    <x v="1"/>
    <x v="1"/>
    <x v="0"/>
    <x v="0"/>
    <x v="1"/>
    <x v="0"/>
    <x v="0"/>
    <x v="0"/>
    <x v="0"/>
  </r>
  <r>
    <x v="479"/>
    <x v="47"/>
    <x v="38"/>
    <x v="2"/>
    <x v="3"/>
    <x v="0"/>
    <x v="106"/>
    <x v="117"/>
    <x v="8"/>
    <x v="645"/>
    <x v="0"/>
    <x v="1"/>
    <x v="0"/>
    <x v="0"/>
    <x v="184"/>
    <x v="2"/>
    <x v="1"/>
    <x v="1"/>
    <x v="0"/>
    <x v="0"/>
    <x v="0"/>
    <x v="0"/>
    <x v="0"/>
    <x v="0"/>
  </r>
  <r>
    <x v="480"/>
    <x v="43"/>
    <x v="33"/>
    <x v="2"/>
    <x v="3"/>
    <x v="0"/>
    <x v="215"/>
    <x v="42"/>
    <x v="116"/>
    <x v="635"/>
    <x v="1"/>
    <x v="0"/>
    <x v="1"/>
    <x v="3"/>
    <x v="221"/>
    <x v="1"/>
    <x v="2"/>
    <x v="0"/>
    <x v="0"/>
    <x v="1"/>
    <x v="1"/>
    <x v="1"/>
    <x v="0"/>
    <x v="0"/>
  </r>
  <r>
    <x v="481"/>
    <x v="17"/>
    <x v="21"/>
    <x v="0"/>
    <x v="3"/>
    <x v="0"/>
    <x v="350"/>
    <x v="320"/>
    <x v="60"/>
    <x v="204"/>
    <x v="0"/>
    <x v="1"/>
    <x v="0"/>
    <x v="0"/>
    <x v="184"/>
    <x v="1"/>
    <x v="1"/>
    <x v="0"/>
    <x v="1"/>
    <x v="0"/>
    <x v="0"/>
    <x v="0"/>
    <x v="0"/>
    <x v="0"/>
  </r>
  <r>
    <x v="482"/>
    <x v="30"/>
    <x v="60"/>
    <x v="2"/>
    <x v="1"/>
    <x v="0"/>
    <x v="310"/>
    <x v="162"/>
    <x v="0"/>
    <x v="356"/>
    <x v="0"/>
    <x v="1"/>
    <x v="0"/>
    <x v="1"/>
    <x v="278"/>
    <x v="2"/>
    <x v="0"/>
    <x v="0"/>
    <x v="0"/>
    <x v="0"/>
    <x v="0"/>
    <x v="0"/>
    <x v="0"/>
    <x v="0"/>
  </r>
  <r>
    <x v="483"/>
    <x v="55"/>
    <x v="4"/>
    <x v="0"/>
    <x v="3"/>
    <x v="1"/>
    <x v="253"/>
    <x v="474"/>
    <x v="232"/>
    <x v="128"/>
    <x v="0"/>
    <x v="1"/>
    <x v="0"/>
    <x v="1"/>
    <x v="81"/>
    <x v="1"/>
    <x v="2"/>
    <x v="0"/>
    <x v="2"/>
    <x v="0"/>
    <x v="0"/>
    <x v="0"/>
    <x v="1"/>
    <x v="1"/>
  </r>
  <r>
    <x v="484"/>
    <x v="41"/>
    <x v="33"/>
    <x v="2"/>
    <x v="2"/>
    <x v="0"/>
    <x v="301"/>
    <x v="32"/>
    <x v="77"/>
    <x v="379"/>
    <x v="1"/>
    <x v="0"/>
    <x v="2"/>
    <x v="4"/>
    <x v="37"/>
    <x v="2"/>
    <x v="0"/>
    <x v="0"/>
    <x v="0"/>
    <x v="1"/>
    <x v="1"/>
    <x v="1"/>
    <x v="0"/>
    <x v="0"/>
  </r>
  <r>
    <x v="485"/>
    <x v="44"/>
    <x v="26"/>
    <x v="0"/>
    <x v="3"/>
    <x v="1"/>
    <x v="138"/>
    <x v="630"/>
    <x v="5"/>
    <x v="275"/>
    <x v="0"/>
    <x v="1"/>
    <x v="0"/>
    <x v="2"/>
    <x v="154"/>
    <x v="2"/>
    <x v="1"/>
    <x v="0"/>
    <x v="0"/>
    <x v="0"/>
    <x v="0"/>
    <x v="0"/>
    <x v="1"/>
    <x v="0"/>
  </r>
  <r>
    <x v="486"/>
    <x v="5"/>
    <x v="39"/>
    <x v="1"/>
    <x v="1"/>
    <x v="1"/>
    <x v="194"/>
    <x v="442"/>
    <x v="178"/>
    <x v="970"/>
    <x v="1"/>
    <x v="0"/>
    <x v="0"/>
    <x v="1"/>
    <x v="194"/>
    <x v="0"/>
    <x v="0"/>
    <x v="1"/>
    <x v="0"/>
    <x v="0"/>
    <x v="1"/>
    <x v="0"/>
    <x v="1"/>
    <x v="1"/>
  </r>
  <r>
    <x v="487"/>
    <x v="13"/>
    <x v="18"/>
    <x v="2"/>
    <x v="3"/>
    <x v="1"/>
    <x v="226"/>
    <x v="466"/>
    <x v="64"/>
    <x v="663"/>
    <x v="0"/>
    <x v="1"/>
    <x v="2"/>
    <x v="3"/>
    <x v="55"/>
    <x v="0"/>
    <x v="1"/>
    <x v="0"/>
    <x v="1"/>
    <x v="1"/>
    <x v="0"/>
    <x v="0"/>
    <x v="1"/>
    <x v="1"/>
  </r>
  <r>
    <x v="488"/>
    <x v="6"/>
    <x v="47"/>
    <x v="1"/>
    <x v="1"/>
    <x v="1"/>
    <x v="43"/>
    <x v="737"/>
    <x v="191"/>
    <x v="829"/>
    <x v="1"/>
    <x v="0"/>
    <x v="0"/>
    <x v="3"/>
    <x v="38"/>
    <x v="1"/>
    <x v="0"/>
    <x v="0"/>
    <x v="0"/>
    <x v="0"/>
    <x v="1"/>
    <x v="0"/>
    <x v="1"/>
    <x v="0"/>
  </r>
  <r>
    <x v="489"/>
    <x v="56"/>
    <x v="27"/>
    <x v="2"/>
    <x v="1"/>
    <x v="0"/>
    <x v="80"/>
    <x v="247"/>
    <x v="64"/>
    <x v="543"/>
    <x v="0"/>
    <x v="1"/>
    <x v="0"/>
    <x v="1"/>
    <x v="209"/>
    <x v="1"/>
    <x v="0"/>
    <x v="0"/>
    <x v="0"/>
    <x v="0"/>
    <x v="0"/>
    <x v="0"/>
    <x v="0"/>
    <x v="0"/>
  </r>
  <r>
    <x v="490"/>
    <x v="19"/>
    <x v="13"/>
    <x v="0"/>
    <x v="5"/>
    <x v="1"/>
    <x v="85"/>
    <x v="168"/>
    <x v="77"/>
    <x v="13"/>
    <x v="2"/>
    <x v="0"/>
    <x v="1"/>
    <x v="1"/>
    <x v="102"/>
    <x v="1"/>
    <x v="1"/>
    <x v="1"/>
    <x v="1"/>
    <x v="1"/>
    <x v="1"/>
    <x v="0"/>
    <x v="1"/>
    <x v="0"/>
  </r>
  <r>
    <x v="491"/>
    <x v="28"/>
    <x v="14"/>
    <x v="1"/>
    <x v="5"/>
    <x v="0"/>
    <x v="334"/>
    <x v="214"/>
    <x v="139"/>
    <x v="702"/>
    <x v="0"/>
    <x v="1"/>
    <x v="0"/>
    <x v="0"/>
    <x v="32"/>
    <x v="1"/>
    <x v="2"/>
    <x v="2"/>
    <x v="1"/>
    <x v="0"/>
    <x v="0"/>
    <x v="0"/>
    <x v="0"/>
    <x v="0"/>
  </r>
  <r>
    <x v="492"/>
    <x v="31"/>
    <x v="50"/>
    <x v="2"/>
    <x v="5"/>
    <x v="0"/>
    <x v="263"/>
    <x v="333"/>
    <x v="157"/>
    <x v="524"/>
    <x v="0"/>
    <x v="1"/>
    <x v="3"/>
    <x v="4"/>
    <x v="290"/>
    <x v="1"/>
    <x v="3"/>
    <x v="1"/>
    <x v="0"/>
    <x v="1"/>
    <x v="0"/>
    <x v="0"/>
    <x v="0"/>
    <x v="0"/>
  </r>
  <r>
    <x v="493"/>
    <x v="30"/>
    <x v="18"/>
    <x v="1"/>
    <x v="3"/>
    <x v="0"/>
    <x v="313"/>
    <x v="371"/>
    <x v="169"/>
    <x v="769"/>
    <x v="0"/>
    <x v="1"/>
    <x v="0"/>
    <x v="1"/>
    <x v="117"/>
    <x v="1"/>
    <x v="0"/>
    <x v="0"/>
    <x v="1"/>
    <x v="0"/>
    <x v="0"/>
    <x v="0"/>
    <x v="0"/>
    <x v="0"/>
  </r>
  <r>
    <x v="494"/>
    <x v="3"/>
    <x v="22"/>
    <x v="2"/>
    <x v="5"/>
    <x v="1"/>
    <x v="24"/>
    <x v="142"/>
    <x v="109"/>
    <x v="535"/>
    <x v="0"/>
    <x v="1"/>
    <x v="4"/>
    <x v="5"/>
    <x v="305"/>
    <x v="1"/>
    <x v="3"/>
    <x v="0"/>
    <x v="1"/>
    <x v="1"/>
    <x v="0"/>
    <x v="0"/>
    <x v="1"/>
    <x v="1"/>
  </r>
  <r>
    <x v="495"/>
    <x v="52"/>
    <x v="45"/>
    <x v="2"/>
    <x v="1"/>
    <x v="0"/>
    <x v="49"/>
    <x v="0"/>
    <x v="152"/>
    <x v="458"/>
    <x v="0"/>
    <x v="1"/>
    <x v="0"/>
    <x v="2"/>
    <x v="190"/>
    <x v="1"/>
    <x v="0"/>
    <x v="0"/>
    <x v="0"/>
    <x v="0"/>
    <x v="0"/>
    <x v="1"/>
    <x v="0"/>
    <x v="0"/>
  </r>
  <r>
    <x v="496"/>
    <x v="22"/>
    <x v="23"/>
    <x v="1"/>
    <x v="3"/>
    <x v="1"/>
    <x v="320"/>
    <x v="210"/>
    <x v="167"/>
    <x v="842"/>
    <x v="1"/>
    <x v="0"/>
    <x v="0"/>
    <x v="1"/>
    <x v="222"/>
    <x v="0"/>
    <x v="0"/>
    <x v="1"/>
    <x v="1"/>
    <x v="0"/>
    <x v="1"/>
    <x v="0"/>
    <x v="1"/>
    <x v="1"/>
  </r>
  <r>
    <x v="497"/>
    <x v="53"/>
    <x v="27"/>
    <x v="2"/>
    <x v="1"/>
    <x v="0"/>
    <x v="0"/>
    <x v="507"/>
    <x v="129"/>
    <x v="620"/>
    <x v="1"/>
    <x v="0"/>
    <x v="1"/>
    <x v="1"/>
    <x v="166"/>
    <x v="0"/>
    <x v="2"/>
    <x v="0"/>
    <x v="0"/>
    <x v="1"/>
    <x v="1"/>
    <x v="0"/>
    <x v="0"/>
    <x v="0"/>
  </r>
  <r>
    <x v="498"/>
    <x v="44"/>
    <x v="17"/>
    <x v="0"/>
    <x v="3"/>
    <x v="1"/>
    <x v="391"/>
    <x v="450"/>
    <x v="105"/>
    <x v="982"/>
    <x v="1"/>
    <x v="0"/>
    <x v="4"/>
    <x v="5"/>
    <x v="0"/>
    <x v="0"/>
    <x v="0"/>
    <x v="0"/>
    <x v="1"/>
    <x v="1"/>
    <x v="1"/>
    <x v="0"/>
    <x v="1"/>
    <x v="1"/>
  </r>
  <r>
    <x v="499"/>
    <x v="40"/>
    <x v="24"/>
    <x v="2"/>
    <x v="1"/>
    <x v="0"/>
    <x v="26"/>
    <x v="701"/>
    <x v="17"/>
    <x v="508"/>
    <x v="1"/>
    <x v="0"/>
    <x v="0"/>
    <x v="0"/>
    <x v="64"/>
    <x v="2"/>
    <x v="1"/>
    <x v="0"/>
    <x v="0"/>
    <x v="0"/>
    <x v="1"/>
    <x v="0"/>
    <x v="0"/>
    <x v="0"/>
  </r>
  <r>
    <x v="500"/>
    <x v="40"/>
    <x v="49"/>
    <x v="2"/>
    <x v="5"/>
    <x v="1"/>
    <x v="345"/>
    <x v="792"/>
    <x v="157"/>
    <x v="679"/>
    <x v="2"/>
    <x v="0"/>
    <x v="1"/>
    <x v="1"/>
    <x v="174"/>
    <x v="2"/>
    <x v="0"/>
    <x v="1"/>
    <x v="0"/>
    <x v="1"/>
    <x v="1"/>
    <x v="0"/>
    <x v="1"/>
    <x v="1"/>
  </r>
  <r>
    <x v="501"/>
    <x v="56"/>
    <x v="38"/>
    <x v="1"/>
    <x v="0"/>
    <x v="0"/>
    <x v="114"/>
    <x v="619"/>
    <x v="118"/>
    <x v="901"/>
    <x v="0"/>
    <x v="1"/>
    <x v="0"/>
    <x v="0"/>
    <x v="229"/>
    <x v="2"/>
    <x v="1"/>
    <x v="0"/>
    <x v="0"/>
    <x v="0"/>
    <x v="0"/>
    <x v="0"/>
    <x v="0"/>
    <x v="0"/>
  </r>
  <r>
    <x v="502"/>
    <x v="17"/>
    <x v="71"/>
    <x v="2"/>
    <x v="0"/>
    <x v="0"/>
    <x v="371"/>
    <x v="729"/>
    <x v="86"/>
    <x v="506"/>
    <x v="1"/>
    <x v="0"/>
    <x v="2"/>
    <x v="2"/>
    <x v="7"/>
    <x v="1"/>
    <x v="1"/>
    <x v="0"/>
    <x v="0"/>
    <x v="1"/>
    <x v="1"/>
    <x v="0"/>
    <x v="0"/>
    <x v="0"/>
  </r>
  <r>
    <x v="503"/>
    <x v="19"/>
    <x v="55"/>
    <x v="2"/>
    <x v="1"/>
    <x v="1"/>
    <x v="473"/>
    <x v="622"/>
    <x v="204"/>
    <x v="510"/>
    <x v="0"/>
    <x v="1"/>
    <x v="0"/>
    <x v="0"/>
    <x v="182"/>
    <x v="3"/>
    <x v="0"/>
    <x v="1"/>
    <x v="0"/>
    <x v="0"/>
    <x v="0"/>
    <x v="0"/>
    <x v="1"/>
    <x v="1"/>
  </r>
  <r>
    <x v="504"/>
    <x v="38"/>
    <x v="1"/>
    <x v="1"/>
    <x v="1"/>
    <x v="1"/>
    <x v="4"/>
    <x v="773"/>
    <x v="18"/>
    <x v="956"/>
    <x v="0"/>
    <x v="1"/>
    <x v="1"/>
    <x v="1"/>
    <x v="65"/>
    <x v="1"/>
    <x v="0"/>
    <x v="0"/>
    <x v="2"/>
    <x v="1"/>
    <x v="0"/>
    <x v="0"/>
    <x v="1"/>
    <x v="1"/>
  </r>
  <r>
    <x v="505"/>
    <x v="13"/>
    <x v="27"/>
    <x v="2"/>
    <x v="5"/>
    <x v="0"/>
    <x v="325"/>
    <x v="787"/>
    <x v="227"/>
    <x v="753"/>
    <x v="0"/>
    <x v="1"/>
    <x v="1"/>
    <x v="2"/>
    <x v="215"/>
    <x v="1"/>
    <x v="0"/>
    <x v="0"/>
    <x v="0"/>
    <x v="1"/>
    <x v="0"/>
    <x v="0"/>
    <x v="0"/>
    <x v="0"/>
  </r>
  <r>
    <x v="506"/>
    <x v="46"/>
    <x v="20"/>
    <x v="2"/>
    <x v="3"/>
    <x v="0"/>
    <x v="27"/>
    <x v="655"/>
    <x v="113"/>
    <x v="501"/>
    <x v="0"/>
    <x v="1"/>
    <x v="1"/>
    <x v="1"/>
    <x v="185"/>
    <x v="1"/>
    <x v="1"/>
    <x v="0"/>
    <x v="1"/>
    <x v="1"/>
    <x v="0"/>
    <x v="0"/>
    <x v="0"/>
    <x v="0"/>
  </r>
  <r>
    <x v="507"/>
    <x v="1"/>
    <x v="42"/>
    <x v="2"/>
    <x v="4"/>
    <x v="0"/>
    <x v="286"/>
    <x v="606"/>
    <x v="137"/>
    <x v="440"/>
    <x v="0"/>
    <x v="1"/>
    <x v="1"/>
    <x v="1"/>
    <x v="268"/>
    <x v="0"/>
    <x v="0"/>
    <x v="0"/>
    <x v="0"/>
    <x v="1"/>
    <x v="0"/>
    <x v="0"/>
    <x v="0"/>
    <x v="0"/>
  </r>
  <r>
    <x v="508"/>
    <x v="52"/>
    <x v="19"/>
    <x v="0"/>
    <x v="1"/>
    <x v="1"/>
    <x v="200"/>
    <x v="329"/>
    <x v="87"/>
    <x v="3"/>
    <x v="1"/>
    <x v="0"/>
    <x v="1"/>
    <x v="1"/>
    <x v="298"/>
    <x v="0"/>
    <x v="0"/>
    <x v="0"/>
    <x v="1"/>
    <x v="1"/>
    <x v="1"/>
    <x v="0"/>
    <x v="1"/>
    <x v="1"/>
  </r>
  <r>
    <x v="509"/>
    <x v="20"/>
    <x v="69"/>
    <x v="2"/>
    <x v="2"/>
    <x v="0"/>
    <x v="246"/>
    <x v="391"/>
    <x v="3"/>
    <x v="324"/>
    <x v="0"/>
    <x v="1"/>
    <x v="0"/>
    <x v="1"/>
    <x v="240"/>
    <x v="0"/>
    <x v="1"/>
    <x v="0"/>
    <x v="0"/>
    <x v="0"/>
    <x v="0"/>
    <x v="0"/>
    <x v="0"/>
    <x v="0"/>
  </r>
  <r>
    <x v="510"/>
    <x v="0"/>
    <x v="21"/>
    <x v="0"/>
    <x v="2"/>
    <x v="1"/>
    <x v="111"/>
    <x v="284"/>
    <x v="105"/>
    <x v="236"/>
    <x v="2"/>
    <x v="0"/>
    <x v="0"/>
    <x v="0"/>
    <x v="281"/>
    <x v="2"/>
    <x v="0"/>
    <x v="1"/>
    <x v="1"/>
    <x v="0"/>
    <x v="1"/>
    <x v="0"/>
    <x v="1"/>
    <x v="0"/>
  </r>
  <r>
    <x v="511"/>
    <x v="34"/>
    <x v="37"/>
    <x v="0"/>
    <x v="5"/>
    <x v="0"/>
    <x v="336"/>
    <x v="585"/>
    <x v="138"/>
    <x v="181"/>
    <x v="0"/>
    <x v="1"/>
    <x v="1"/>
    <x v="3"/>
    <x v="149"/>
    <x v="2"/>
    <x v="0"/>
    <x v="0"/>
    <x v="0"/>
    <x v="1"/>
    <x v="0"/>
    <x v="0"/>
    <x v="0"/>
    <x v="0"/>
  </r>
  <r>
    <x v="512"/>
    <x v="15"/>
    <x v="8"/>
    <x v="2"/>
    <x v="2"/>
    <x v="0"/>
    <x v="53"/>
    <x v="170"/>
    <x v="162"/>
    <x v="418"/>
    <x v="0"/>
    <x v="1"/>
    <x v="0"/>
    <x v="0"/>
    <x v="373"/>
    <x v="1"/>
    <x v="0"/>
    <x v="0"/>
    <x v="1"/>
    <x v="0"/>
    <x v="0"/>
    <x v="0"/>
    <x v="0"/>
    <x v="0"/>
  </r>
  <r>
    <x v="513"/>
    <x v="17"/>
    <x v="65"/>
    <x v="2"/>
    <x v="3"/>
    <x v="0"/>
    <x v="393"/>
    <x v="334"/>
    <x v="101"/>
    <x v="405"/>
    <x v="1"/>
    <x v="0"/>
    <x v="0"/>
    <x v="1"/>
    <x v="57"/>
    <x v="0"/>
    <x v="0"/>
    <x v="0"/>
    <x v="0"/>
    <x v="0"/>
    <x v="1"/>
    <x v="0"/>
    <x v="0"/>
    <x v="0"/>
  </r>
  <r>
    <x v="514"/>
    <x v="27"/>
    <x v="65"/>
    <x v="1"/>
    <x v="3"/>
    <x v="0"/>
    <x v="173"/>
    <x v="0"/>
    <x v="0"/>
    <x v="798"/>
    <x v="0"/>
    <x v="1"/>
    <x v="0"/>
    <x v="1"/>
    <x v="129"/>
    <x v="2"/>
    <x v="0"/>
    <x v="2"/>
    <x v="0"/>
    <x v="0"/>
    <x v="0"/>
    <x v="1"/>
    <x v="0"/>
    <x v="0"/>
  </r>
  <r>
    <x v="515"/>
    <x v="33"/>
    <x v="57"/>
    <x v="0"/>
    <x v="2"/>
    <x v="0"/>
    <x v="58"/>
    <x v="383"/>
    <x v="10"/>
    <x v="163"/>
    <x v="1"/>
    <x v="0"/>
    <x v="0"/>
    <x v="1"/>
    <x v="284"/>
    <x v="1"/>
    <x v="1"/>
    <x v="1"/>
    <x v="0"/>
    <x v="0"/>
    <x v="1"/>
    <x v="1"/>
    <x v="0"/>
    <x v="0"/>
  </r>
  <r>
    <x v="516"/>
    <x v="7"/>
    <x v="25"/>
    <x v="0"/>
    <x v="3"/>
    <x v="1"/>
    <x v="423"/>
    <x v="323"/>
    <x v="241"/>
    <x v="208"/>
    <x v="0"/>
    <x v="1"/>
    <x v="1"/>
    <x v="1"/>
    <x v="269"/>
    <x v="1"/>
    <x v="0"/>
    <x v="0"/>
    <x v="0"/>
    <x v="1"/>
    <x v="0"/>
    <x v="0"/>
    <x v="1"/>
    <x v="1"/>
  </r>
  <r>
    <x v="517"/>
    <x v="2"/>
    <x v="4"/>
    <x v="1"/>
    <x v="5"/>
    <x v="1"/>
    <x v="220"/>
    <x v="530"/>
    <x v="41"/>
    <x v="816"/>
    <x v="2"/>
    <x v="0"/>
    <x v="0"/>
    <x v="0"/>
    <x v="184"/>
    <x v="1"/>
    <x v="1"/>
    <x v="1"/>
    <x v="2"/>
    <x v="0"/>
    <x v="1"/>
    <x v="0"/>
    <x v="1"/>
    <x v="1"/>
  </r>
  <r>
    <x v="518"/>
    <x v="26"/>
    <x v="51"/>
    <x v="0"/>
    <x v="2"/>
    <x v="1"/>
    <x v="443"/>
    <x v="741"/>
    <x v="214"/>
    <x v="172"/>
    <x v="1"/>
    <x v="0"/>
    <x v="1"/>
    <x v="1"/>
    <x v="262"/>
    <x v="1"/>
    <x v="0"/>
    <x v="0"/>
    <x v="0"/>
    <x v="1"/>
    <x v="1"/>
    <x v="0"/>
    <x v="1"/>
    <x v="1"/>
  </r>
  <r>
    <x v="519"/>
    <x v="20"/>
    <x v="30"/>
    <x v="0"/>
    <x v="5"/>
    <x v="0"/>
    <x v="390"/>
    <x v="495"/>
    <x v="51"/>
    <x v="18"/>
    <x v="0"/>
    <x v="1"/>
    <x v="2"/>
    <x v="2"/>
    <x v="0"/>
    <x v="0"/>
    <x v="0"/>
    <x v="0"/>
    <x v="0"/>
    <x v="1"/>
    <x v="0"/>
    <x v="0"/>
    <x v="0"/>
    <x v="0"/>
  </r>
  <r>
    <x v="520"/>
    <x v="33"/>
    <x v="71"/>
    <x v="0"/>
    <x v="0"/>
    <x v="0"/>
    <x v="126"/>
    <x v="738"/>
    <x v="102"/>
    <x v="322"/>
    <x v="0"/>
    <x v="1"/>
    <x v="0"/>
    <x v="0"/>
    <x v="184"/>
    <x v="1"/>
    <x v="0"/>
    <x v="0"/>
    <x v="0"/>
    <x v="0"/>
    <x v="0"/>
    <x v="0"/>
    <x v="0"/>
    <x v="0"/>
  </r>
  <r>
    <x v="521"/>
    <x v="43"/>
    <x v="50"/>
    <x v="2"/>
    <x v="3"/>
    <x v="0"/>
    <x v="217"/>
    <x v="58"/>
    <x v="159"/>
    <x v="383"/>
    <x v="1"/>
    <x v="0"/>
    <x v="2"/>
    <x v="2"/>
    <x v="167"/>
    <x v="2"/>
    <x v="0"/>
    <x v="1"/>
    <x v="0"/>
    <x v="1"/>
    <x v="1"/>
    <x v="0"/>
    <x v="0"/>
    <x v="0"/>
  </r>
  <r>
    <x v="522"/>
    <x v="35"/>
    <x v="38"/>
    <x v="1"/>
    <x v="2"/>
    <x v="0"/>
    <x v="245"/>
    <x v="804"/>
    <x v="58"/>
    <x v="834"/>
    <x v="0"/>
    <x v="1"/>
    <x v="1"/>
    <x v="1"/>
    <x v="314"/>
    <x v="2"/>
    <x v="1"/>
    <x v="0"/>
    <x v="0"/>
    <x v="1"/>
    <x v="0"/>
    <x v="0"/>
    <x v="0"/>
    <x v="0"/>
  </r>
  <r>
    <x v="523"/>
    <x v="6"/>
    <x v="71"/>
    <x v="1"/>
    <x v="1"/>
    <x v="1"/>
    <x v="418"/>
    <x v="679"/>
    <x v="224"/>
    <x v="899"/>
    <x v="0"/>
    <x v="1"/>
    <x v="2"/>
    <x v="2"/>
    <x v="0"/>
    <x v="2"/>
    <x v="2"/>
    <x v="1"/>
    <x v="0"/>
    <x v="1"/>
    <x v="0"/>
    <x v="0"/>
    <x v="1"/>
    <x v="1"/>
  </r>
  <r>
    <x v="524"/>
    <x v="57"/>
    <x v="57"/>
    <x v="2"/>
    <x v="2"/>
    <x v="0"/>
    <x v="288"/>
    <x v="477"/>
    <x v="120"/>
    <x v="350"/>
    <x v="1"/>
    <x v="0"/>
    <x v="3"/>
    <x v="4"/>
    <x v="218"/>
    <x v="0"/>
    <x v="1"/>
    <x v="0"/>
    <x v="0"/>
    <x v="1"/>
    <x v="1"/>
    <x v="0"/>
    <x v="0"/>
    <x v="0"/>
  </r>
  <r>
    <x v="525"/>
    <x v="41"/>
    <x v="33"/>
    <x v="0"/>
    <x v="3"/>
    <x v="1"/>
    <x v="253"/>
    <x v="736"/>
    <x v="147"/>
    <x v="158"/>
    <x v="0"/>
    <x v="1"/>
    <x v="2"/>
    <x v="2"/>
    <x v="125"/>
    <x v="0"/>
    <x v="0"/>
    <x v="0"/>
    <x v="0"/>
    <x v="1"/>
    <x v="0"/>
    <x v="0"/>
    <x v="1"/>
    <x v="1"/>
  </r>
  <r>
    <x v="526"/>
    <x v="2"/>
    <x v="1"/>
    <x v="2"/>
    <x v="0"/>
    <x v="1"/>
    <x v="201"/>
    <x v="71"/>
    <x v="96"/>
    <x v="547"/>
    <x v="0"/>
    <x v="1"/>
    <x v="0"/>
    <x v="0"/>
    <x v="184"/>
    <x v="2"/>
    <x v="1"/>
    <x v="0"/>
    <x v="2"/>
    <x v="0"/>
    <x v="0"/>
    <x v="0"/>
    <x v="1"/>
    <x v="1"/>
  </r>
  <r>
    <x v="527"/>
    <x v="44"/>
    <x v="6"/>
    <x v="2"/>
    <x v="0"/>
    <x v="1"/>
    <x v="222"/>
    <x v="299"/>
    <x v="161"/>
    <x v="721"/>
    <x v="0"/>
    <x v="1"/>
    <x v="1"/>
    <x v="2"/>
    <x v="225"/>
    <x v="1"/>
    <x v="2"/>
    <x v="0"/>
    <x v="1"/>
    <x v="1"/>
    <x v="0"/>
    <x v="0"/>
    <x v="1"/>
    <x v="1"/>
  </r>
  <r>
    <x v="528"/>
    <x v="51"/>
    <x v="31"/>
    <x v="0"/>
    <x v="5"/>
    <x v="1"/>
    <x v="400"/>
    <x v="738"/>
    <x v="224"/>
    <x v="185"/>
    <x v="2"/>
    <x v="0"/>
    <x v="2"/>
    <x v="4"/>
    <x v="229"/>
    <x v="3"/>
    <x v="0"/>
    <x v="0"/>
    <x v="0"/>
    <x v="1"/>
    <x v="1"/>
    <x v="0"/>
    <x v="1"/>
    <x v="0"/>
  </r>
  <r>
    <x v="529"/>
    <x v="32"/>
    <x v="40"/>
    <x v="0"/>
    <x v="3"/>
    <x v="0"/>
    <x v="229"/>
    <x v="0"/>
    <x v="106"/>
    <x v="210"/>
    <x v="0"/>
    <x v="1"/>
    <x v="0"/>
    <x v="0"/>
    <x v="72"/>
    <x v="0"/>
    <x v="1"/>
    <x v="0"/>
    <x v="0"/>
    <x v="0"/>
    <x v="0"/>
    <x v="1"/>
    <x v="0"/>
    <x v="0"/>
  </r>
  <r>
    <x v="530"/>
    <x v="48"/>
    <x v="2"/>
    <x v="0"/>
    <x v="5"/>
    <x v="1"/>
    <x v="175"/>
    <x v="562"/>
    <x v="231"/>
    <x v="67"/>
    <x v="1"/>
    <x v="0"/>
    <x v="0"/>
    <x v="1"/>
    <x v="181"/>
    <x v="0"/>
    <x v="0"/>
    <x v="0"/>
    <x v="2"/>
    <x v="0"/>
    <x v="1"/>
    <x v="0"/>
    <x v="1"/>
    <x v="1"/>
  </r>
  <r>
    <x v="531"/>
    <x v="51"/>
    <x v="9"/>
    <x v="0"/>
    <x v="5"/>
    <x v="0"/>
    <x v="153"/>
    <x v="552"/>
    <x v="72"/>
    <x v="144"/>
    <x v="1"/>
    <x v="0"/>
    <x v="1"/>
    <x v="1"/>
    <x v="169"/>
    <x v="0"/>
    <x v="0"/>
    <x v="2"/>
    <x v="1"/>
    <x v="1"/>
    <x v="1"/>
    <x v="0"/>
    <x v="0"/>
    <x v="0"/>
  </r>
  <r>
    <x v="532"/>
    <x v="55"/>
    <x v="50"/>
    <x v="2"/>
    <x v="3"/>
    <x v="0"/>
    <x v="155"/>
    <x v="795"/>
    <x v="168"/>
    <x v="628"/>
    <x v="0"/>
    <x v="1"/>
    <x v="3"/>
    <x v="3"/>
    <x v="243"/>
    <x v="1"/>
    <x v="0"/>
    <x v="3"/>
    <x v="0"/>
    <x v="1"/>
    <x v="0"/>
    <x v="0"/>
    <x v="0"/>
    <x v="0"/>
  </r>
  <r>
    <x v="533"/>
    <x v="55"/>
    <x v="54"/>
    <x v="2"/>
    <x v="5"/>
    <x v="1"/>
    <x v="58"/>
    <x v="12"/>
    <x v="149"/>
    <x v="633"/>
    <x v="0"/>
    <x v="1"/>
    <x v="1"/>
    <x v="1"/>
    <x v="293"/>
    <x v="1"/>
    <x v="1"/>
    <x v="0"/>
    <x v="0"/>
    <x v="1"/>
    <x v="0"/>
    <x v="1"/>
    <x v="1"/>
    <x v="1"/>
  </r>
  <r>
    <x v="534"/>
    <x v="11"/>
    <x v="2"/>
    <x v="0"/>
    <x v="2"/>
    <x v="1"/>
    <x v="129"/>
    <x v="762"/>
    <x v="42"/>
    <x v="149"/>
    <x v="0"/>
    <x v="1"/>
    <x v="1"/>
    <x v="1"/>
    <x v="205"/>
    <x v="1"/>
    <x v="0"/>
    <x v="0"/>
    <x v="2"/>
    <x v="1"/>
    <x v="0"/>
    <x v="0"/>
    <x v="1"/>
    <x v="1"/>
  </r>
  <r>
    <x v="535"/>
    <x v="2"/>
    <x v="36"/>
    <x v="2"/>
    <x v="3"/>
    <x v="0"/>
    <x v="416"/>
    <x v="212"/>
    <x v="130"/>
    <x v="462"/>
    <x v="0"/>
    <x v="1"/>
    <x v="1"/>
    <x v="1"/>
    <x v="51"/>
    <x v="1"/>
    <x v="2"/>
    <x v="1"/>
    <x v="0"/>
    <x v="1"/>
    <x v="0"/>
    <x v="0"/>
    <x v="0"/>
    <x v="0"/>
  </r>
  <r>
    <x v="536"/>
    <x v="37"/>
    <x v="5"/>
    <x v="1"/>
    <x v="1"/>
    <x v="0"/>
    <x v="200"/>
    <x v="242"/>
    <x v="116"/>
    <x v="696"/>
    <x v="1"/>
    <x v="0"/>
    <x v="0"/>
    <x v="0"/>
    <x v="184"/>
    <x v="3"/>
    <x v="1"/>
    <x v="1"/>
    <x v="2"/>
    <x v="0"/>
    <x v="1"/>
    <x v="0"/>
    <x v="0"/>
    <x v="0"/>
  </r>
  <r>
    <x v="537"/>
    <x v="39"/>
    <x v="52"/>
    <x v="2"/>
    <x v="2"/>
    <x v="0"/>
    <x v="327"/>
    <x v="63"/>
    <x v="55"/>
    <x v="360"/>
    <x v="0"/>
    <x v="1"/>
    <x v="2"/>
    <x v="4"/>
    <x v="371"/>
    <x v="4"/>
    <x v="0"/>
    <x v="0"/>
    <x v="0"/>
    <x v="1"/>
    <x v="0"/>
    <x v="0"/>
    <x v="0"/>
    <x v="0"/>
  </r>
  <r>
    <x v="538"/>
    <x v="32"/>
    <x v="60"/>
    <x v="1"/>
    <x v="2"/>
    <x v="1"/>
    <x v="1"/>
    <x v="89"/>
    <x v="140"/>
    <x v="732"/>
    <x v="1"/>
    <x v="0"/>
    <x v="1"/>
    <x v="3"/>
    <x v="341"/>
    <x v="1"/>
    <x v="1"/>
    <x v="0"/>
    <x v="0"/>
    <x v="1"/>
    <x v="1"/>
    <x v="0"/>
    <x v="1"/>
    <x v="1"/>
  </r>
  <r>
    <x v="539"/>
    <x v="13"/>
    <x v="62"/>
    <x v="2"/>
    <x v="5"/>
    <x v="0"/>
    <x v="307"/>
    <x v="517"/>
    <x v="125"/>
    <x v="421"/>
    <x v="0"/>
    <x v="1"/>
    <x v="0"/>
    <x v="0"/>
    <x v="184"/>
    <x v="1"/>
    <x v="1"/>
    <x v="1"/>
    <x v="0"/>
    <x v="0"/>
    <x v="0"/>
    <x v="0"/>
    <x v="0"/>
    <x v="0"/>
  </r>
  <r>
    <x v="540"/>
    <x v="55"/>
    <x v="43"/>
    <x v="1"/>
    <x v="0"/>
    <x v="0"/>
    <x v="207"/>
    <x v="84"/>
    <x v="110"/>
    <x v="906"/>
    <x v="0"/>
    <x v="1"/>
    <x v="1"/>
    <x v="1"/>
    <x v="195"/>
    <x v="1"/>
    <x v="2"/>
    <x v="2"/>
    <x v="0"/>
    <x v="1"/>
    <x v="0"/>
    <x v="0"/>
    <x v="0"/>
    <x v="0"/>
  </r>
  <r>
    <x v="541"/>
    <x v="23"/>
    <x v="45"/>
    <x v="0"/>
    <x v="1"/>
    <x v="1"/>
    <x v="166"/>
    <x v="613"/>
    <x v="110"/>
    <x v="333"/>
    <x v="0"/>
    <x v="1"/>
    <x v="1"/>
    <x v="2"/>
    <x v="287"/>
    <x v="2"/>
    <x v="0"/>
    <x v="0"/>
    <x v="0"/>
    <x v="1"/>
    <x v="0"/>
    <x v="0"/>
    <x v="1"/>
    <x v="1"/>
  </r>
  <r>
    <x v="542"/>
    <x v="43"/>
    <x v="66"/>
    <x v="2"/>
    <x v="5"/>
    <x v="0"/>
    <x v="254"/>
    <x v="179"/>
    <x v="109"/>
    <x v="671"/>
    <x v="0"/>
    <x v="1"/>
    <x v="1"/>
    <x v="1"/>
    <x v="169"/>
    <x v="0"/>
    <x v="3"/>
    <x v="0"/>
    <x v="0"/>
    <x v="1"/>
    <x v="0"/>
    <x v="0"/>
    <x v="0"/>
    <x v="0"/>
  </r>
  <r>
    <x v="543"/>
    <x v="36"/>
    <x v="44"/>
    <x v="0"/>
    <x v="0"/>
    <x v="0"/>
    <x v="164"/>
    <x v="65"/>
    <x v="89"/>
    <x v="320"/>
    <x v="1"/>
    <x v="0"/>
    <x v="1"/>
    <x v="1"/>
    <x v="137"/>
    <x v="2"/>
    <x v="0"/>
    <x v="1"/>
    <x v="0"/>
    <x v="1"/>
    <x v="1"/>
    <x v="0"/>
    <x v="0"/>
    <x v="0"/>
  </r>
  <r>
    <x v="544"/>
    <x v="51"/>
    <x v="32"/>
    <x v="2"/>
    <x v="2"/>
    <x v="1"/>
    <x v="10"/>
    <x v="220"/>
    <x v="125"/>
    <x v="559"/>
    <x v="0"/>
    <x v="1"/>
    <x v="1"/>
    <x v="1"/>
    <x v="159"/>
    <x v="1"/>
    <x v="0"/>
    <x v="0"/>
    <x v="0"/>
    <x v="1"/>
    <x v="0"/>
    <x v="0"/>
    <x v="1"/>
    <x v="1"/>
  </r>
  <r>
    <x v="545"/>
    <x v="41"/>
    <x v="54"/>
    <x v="2"/>
    <x v="3"/>
    <x v="0"/>
    <x v="353"/>
    <x v="499"/>
    <x v="70"/>
    <x v="385"/>
    <x v="1"/>
    <x v="0"/>
    <x v="0"/>
    <x v="0"/>
    <x v="249"/>
    <x v="1"/>
    <x v="0"/>
    <x v="0"/>
    <x v="0"/>
    <x v="0"/>
    <x v="1"/>
    <x v="0"/>
    <x v="0"/>
    <x v="0"/>
  </r>
  <r>
    <x v="546"/>
    <x v="36"/>
    <x v="42"/>
    <x v="0"/>
    <x v="3"/>
    <x v="0"/>
    <x v="262"/>
    <x v="383"/>
    <x v="253"/>
    <x v="156"/>
    <x v="0"/>
    <x v="1"/>
    <x v="0"/>
    <x v="1"/>
    <x v="62"/>
    <x v="1"/>
    <x v="1"/>
    <x v="0"/>
    <x v="0"/>
    <x v="0"/>
    <x v="0"/>
    <x v="1"/>
    <x v="0"/>
    <x v="0"/>
  </r>
  <r>
    <x v="547"/>
    <x v="48"/>
    <x v="60"/>
    <x v="1"/>
    <x v="2"/>
    <x v="1"/>
    <x v="184"/>
    <x v="415"/>
    <x v="19"/>
    <x v="795"/>
    <x v="0"/>
    <x v="1"/>
    <x v="0"/>
    <x v="1"/>
    <x v="309"/>
    <x v="2"/>
    <x v="0"/>
    <x v="0"/>
    <x v="0"/>
    <x v="0"/>
    <x v="0"/>
    <x v="0"/>
    <x v="1"/>
    <x v="1"/>
  </r>
  <r>
    <x v="548"/>
    <x v="3"/>
    <x v="37"/>
    <x v="0"/>
    <x v="5"/>
    <x v="1"/>
    <x v="105"/>
    <x v="604"/>
    <x v="74"/>
    <x v="99"/>
    <x v="2"/>
    <x v="0"/>
    <x v="0"/>
    <x v="0"/>
    <x v="181"/>
    <x v="1"/>
    <x v="1"/>
    <x v="0"/>
    <x v="0"/>
    <x v="0"/>
    <x v="1"/>
    <x v="0"/>
    <x v="1"/>
    <x v="1"/>
  </r>
  <r>
    <x v="549"/>
    <x v="40"/>
    <x v="62"/>
    <x v="0"/>
    <x v="3"/>
    <x v="0"/>
    <x v="51"/>
    <x v="678"/>
    <x v="80"/>
    <x v="70"/>
    <x v="1"/>
    <x v="0"/>
    <x v="1"/>
    <x v="1"/>
    <x v="81"/>
    <x v="3"/>
    <x v="1"/>
    <x v="1"/>
    <x v="0"/>
    <x v="1"/>
    <x v="1"/>
    <x v="0"/>
    <x v="0"/>
    <x v="0"/>
  </r>
  <r>
    <x v="550"/>
    <x v="34"/>
    <x v="3"/>
    <x v="0"/>
    <x v="1"/>
    <x v="0"/>
    <x v="260"/>
    <x v="292"/>
    <x v="240"/>
    <x v="36"/>
    <x v="0"/>
    <x v="1"/>
    <x v="0"/>
    <x v="0"/>
    <x v="304"/>
    <x v="3"/>
    <x v="0"/>
    <x v="2"/>
    <x v="2"/>
    <x v="0"/>
    <x v="0"/>
    <x v="0"/>
    <x v="0"/>
    <x v="0"/>
  </r>
  <r>
    <x v="551"/>
    <x v="45"/>
    <x v="2"/>
    <x v="2"/>
    <x v="2"/>
    <x v="0"/>
    <x v="424"/>
    <x v="99"/>
    <x v="25"/>
    <x v="463"/>
    <x v="0"/>
    <x v="1"/>
    <x v="1"/>
    <x v="3"/>
    <x v="25"/>
    <x v="0"/>
    <x v="0"/>
    <x v="0"/>
    <x v="2"/>
    <x v="1"/>
    <x v="0"/>
    <x v="0"/>
    <x v="0"/>
    <x v="0"/>
  </r>
  <r>
    <x v="552"/>
    <x v="13"/>
    <x v="7"/>
    <x v="0"/>
    <x v="2"/>
    <x v="0"/>
    <x v="257"/>
    <x v="431"/>
    <x v="145"/>
    <x v="272"/>
    <x v="0"/>
    <x v="1"/>
    <x v="0"/>
    <x v="2"/>
    <x v="126"/>
    <x v="3"/>
    <x v="2"/>
    <x v="0"/>
    <x v="1"/>
    <x v="0"/>
    <x v="0"/>
    <x v="0"/>
    <x v="0"/>
    <x v="0"/>
  </r>
  <r>
    <x v="553"/>
    <x v="34"/>
    <x v="40"/>
    <x v="2"/>
    <x v="0"/>
    <x v="0"/>
    <x v="60"/>
    <x v="536"/>
    <x v="132"/>
    <x v="369"/>
    <x v="0"/>
    <x v="1"/>
    <x v="1"/>
    <x v="1"/>
    <x v="124"/>
    <x v="1"/>
    <x v="0"/>
    <x v="0"/>
    <x v="0"/>
    <x v="1"/>
    <x v="0"/>
    <x v="0"/>
    <x v="0"/>
    <x v="0"/>
  </r>
  <r>
    <x v="554"/>
    <x v="16"/>
    <x v="51"/>
    <x v="0"/>
    <x v="2"/>
    <x v="1"/>
    <x v="260"/>
    <x v="22"/>
    <x v="138"/>
    <x v="313"/>
    <x v="1"/>
    <x v="0"/>
    <x v="0"/>
    <x v="2"/>
    <x v="362"/>
    <x v="1"/>
    <x v="1"/>
    <x v="0"/>
    <x v="0"/>
    <x v="0"/>
    <x v="1"/>
    <x v="1"/>
    <x v="1"/>
    <x v="1"/>
  </r>
  <r>
    <x v="555"/>
    <x v="6"/>
    <x v="15"/>
    <x v="1"/>
    <x v="3"/>
    <x v="0"/>
    <x v="222"/>
    <x v="130"/>
    <x v="202"/>
    <x v="837"/>
    <x v="1"/>
    <x v="0"/>
    <x v="1"/>
    <x v="1"/>
    <x v="111"/>
    <x v="1"/>
    <x v="1"/>
    <x v="0"/>
    <x v="1"/>
    <x v="1"/>
    <x v="1"/>
    <x v="0"/>
    <x v="0"/>
    <x v="0"/>
  </r>
  <r>
    <x v="556"/>
    <x v="33"/>
    <x v="11"/>
    <x v="1"/>
    <x v="3"/>
    <x v="0"/>
    <x v="347"/>
    <x v="171"/>
    <x v="200"/>
    <x v="792"/>
    <x v="0"/>
    <x v="1"/>
    <x v="0"/>
    <x v="0"/>
    <x v="0"/>
    <x v="3"/>
    <x v="2"/>
    <x v="0"/>
    <x v="1"/>
    <x v="0"/>
    <x v="0"/>
    <x v="0"/>
    <x v="0"/>
    <x v="0"/>
  </r>
  <r>
    <x v="557"/>
    <x v="1"/>
    <x v="61"/>
    <x v="2"/>
    <x v="1"/>
    <x v="0"/>
    <x v="312"/>
    <x v="328"/>
    <x v="83"/>
    <x v="749"/>
    <x v="0"/>
    <x v="1"/>
    <x v="0"/>
    <x v="0"/>
    <x v="123"/>
    <x v="1"/>
    <x v="1"/>
    <x v="0"/>
    <x v="0"/>
    <x v="0"/>
    <x v="0"/>
    <x v="0"/>
    <x v="0"/>
    <x v="0"/>
  </r>
  <r>
    <x v="558"/>
    <x v="5"/>
    <x v="54"/>
    <x v="2"/>
    <x v="1"/>
    <x v="0"/>
    <x v="0"/>
    <x v="160"/>
    <x v="129"/>
    <x v="695"/>
    <x v="0"/>
    <x v="1"/>
    <x v="0"/>
    <x v="0"/>
    <x v="240"/>
    <x v="0"/>
    <x v="2"/>
    <x v="0"/>
    <x v="0"/>
    <x v="0"/>
    <x v="0"/>
    <x v="0"/>
    <x v="0"/>
    <x v="0"/>
  </r>
  <r>
    <x v="559"/>
    <x v="30"/>
    <x v="46"/>
    <x v="1"/>
    <x v="1"/>
    <x v="0"/>
    <x v="304"/>
    <x v="607"/>
    <x v="0"/>
    <x v="712"/>
    <x v="0"/>
    <x v="1"/>
    <x v="1"/>
    <x v="2"/>
    <x v="273"/>
    <x v="2"/>
    <x v="1"/>
    <x v="0"/>
    <x v="0"/>
    <x v="1"/>
    <x v="0"/>
    <x v="0"/>
    <x v="0"/>
    <x v="0"/>
  </r>
  <r>
    <x v="560"/>
    <x v="52"/>
    <x v="35"/>
    <x v="1"/>
    <x v="2"/>
    <x v="1"/>
    <x v="99"/>
    <x v="10"/>
    <x v="122"/>
    <x v="705"/>
    <x v="0"/>
    <x v="1"/>
    <x v="0"/>
    <x v="0"/>
    <x v="366"/>
    <x v="3"/>
    <x v="3"/>
    <x v="0"/>
    <x v="0"/>
    <x v="0"/>
    <x v="0"/>
    <x v="1"/>
    <x v="1"/>
    <x v="1"/>
  </r>
  <r>
    <x v="561"/>
    <x v="41"/>
    <x v="30"/>
    <x v="2"/>
    <x v="3"/>
    <x v="1"/>
    <x v="56"/>
    <x v="13"/>
    <x v="59"/>
    <x v="595"/>
    <x v="2"/>
    <x v="0"/>
    <x v="0"/>
    <x v="0"/>
    <x v="327"/>
    <x v="4"/>
    <x v="1"/>
    <x v="0"/>
    <x v="0"/>
    <x v="0"/>
    <x v="1"/>
    <x v="1"/>
    <x v="1"/>
    <x v="0"/>
  </r>
  <r>
    <x v="562"/>
    <x v="0"/>
    <x v="1"/>
    <x v="1"/>
    <x v="5"/>
    <x v="1"/>
    <x v="203"/>
    <x v="285"/>
    <x v="102"/>
    <x v="781"/>
    <x v="0"/>
    <x v="1"/>
    <x v="1"/>
    <x v="1"/>
    <x v="210"/>
    <x v="1"/>
    <x v="0"/>
    <x v="0"/>
    <x v="2"/>
    <x v="1"/>
    <x v="0"/>
    <x v="0"/>
    <x v="1"/>
    <x v="1"/>
  </r>
  <r>
    <x v="563"/>
    <x v="6"/>
    <x v="13"/>
    <x v="1"/>
    <x v="5"/>
    <x v="1"/>
    <x v="284"/>
    <x v="340"/>
    <x v="2"/>
    <x v="894"/>
    <x v="0"/>
    <x v="1"/>
    <x v="1"/>
    <x v="1"/>
    <x v="86"/>
    <x v="0"/>
    <x v="1"/>
    <x v="0"/>
    <x v="1"/>
    <x v="1"/>
    <x v="0"/>
    <x v="0"/>
    <x v="1"/>
    <x v="1"/>
  </r>
  <r>
    <x v="564"/>
    <x v="25"/>
    <x v="64"/>
    <x v="1"/>
    <x v="5"/>
    <x v="1"/>
    <x v="38"/>
    <x v="25"/>
    <x v="143"/>
    <x v="932"/>
    <x v="1"/>
    <x v="0"/>
    <x v="1"/>
    <x v="3"/>
    <x v="340"/>
    <x v="1"/>
    <x v="0"/>
    <x v="0"/>
    <x v="0"/>
    <x v="1"/>
    <x v="1"/>
    <x v="1"/>
    <x v="1"/>
    <x v="1"/>
  </r>
  <r>
    <x v="565"/>
    <x v="24"/>
    <x v="24"/>
    <x v="2"/>
    <x v="5"/>
    <x v="1"/>
    <x v="327"/>
    <x v="195"/>
    <x v="1"/>
    <x v="552"/>
    <x v="0"/>
    <x v="1"/>
    <x v="0"/>
    <x v="2"/>
    <x v="147"/>
    <x v="4"/>
    <x v="0"/>
    <x v="0"/>
    <x v="0"/>
    <x v="0"/>
    <x v="0"/>
    <x v="0"/>
    <x v="1"/>
    <x v="0"/>
  </r>
  <r>
    <x v="566"/>
    <x v="2"/>
    <x v="50"/>
    <x v="0"/>
    <x v="5"/>
    <x v="0"/>
    <x v="334"/>
    <x v="261"/>
    <x v="125"/>
    <x v="107"/>
    <x v="0"/>
    <x v="1"/>
    <x v="1"/>
    <x v="2"/>
    <x v="114"/>
    <x v="1"/>
    <x v="2"/>
    <x v="0"/>
    <x v="0"/>
    <x v="1"/>
    <x v="0"/>
    <x v="0"/>
    <x v="0"/>
    <x v="0"/>
  </r>
  <r>
    <x v="567"/>
    <x v="14"/>
    <x v="50"/>
    <x v="0"/>
    <x v="2"/>
    <x v="0"/>
    <x v="235"/>
    <x v="264"/>
    <x v="31"/>
    <x v="183"/>
    <x v="0"/>
    <x v="1"/>
    <x v="1"/>
    <x v="1"/>
    <x v="142"/>
    <x v="2"/>
    <x v="0"/>
    <x v="0"/>
    <x v="0"/>
    <x v="1"/>
    <x v="0"/>
    <x v="0"/>
    <x v="0"/>
    <x v="0"/>
  </r>
  <r>
    <x v="568"/>
    <x v="7"/>
    <x v="22"/>
    <x v="2"/>
    <x v="3"/>
    <x v="0"/>
    <x v="117"/>
    <x v="456"/>
    <x v="56"/>
    <x v="540"/>
    <x v="0"/>
    <x v="1"/>
    <x v="1"/>
    <x v="2"/>
    <x v="54"/>
    <x v="0"/>
    <x v="1"/>
    <x v="1"/>
    <x v="1"/>
    <x v="1"/>
    <x v="0"/>
    <x v="0"/>
    <x v="0"/>
    <x v="0"/>
  </r>
  <r>
    <x v="569"/>
    <x v="32"/>
    <x v="14"/>
    <x v="2"/>
    <x v="1"/>
    <x v="1"/>
    <x v="103"/>
    <x v="180"/>
    <x v="196"/>
    <x v="490"/>
    <x v="1"/>
    <x v="0"/>
    <x v="1"/>
    <x v="1"/>
    <x v="136"/>
    <x v="1"/>
    <x v="3"/>
    <x v="0"/>
    <x v="1"/>
    <x v="1"/>
    <x v="1"/>
    <x v="0"/>
    <x v="1"/>
    <x v="1"/>
  </r>
  <r>
    <x v="570"/>
    <x v="38"/>
    <x v="49"/>
    <x v="2"/>
    <x v="3"/>
    <x v="0"/>
    <x v="369"/>
    <x v="744"/>
    <x v="156"/>
    <x v="703"/>
    <x v="0"/>
    <x v="1"/>
    <x v="2"/>
    <x v="2"/>
    <x v="163"/>
    <x v="1"/>
    <x v="2"/>
    <x v="0"/>
    <x v="0"/>
    <x v="1"/>
    <x v="0"/>
    <x v="0"/>
    <x v="0"/>
    <x v="0"/>
  </r>
  <r>
    <x v="571"/>
    <x v="22"/>
    <x v="6"/>
    <x v="2"/>
    <x v="5"/>
    <x v="1"/>
    <x v="46"/>
    <x v="540"/>
    <x v="195"/>
    <x v="650"/>
    <x v="0"/>
    <x v="1"/>
    <x v="0"/>
    <x v="0"/>
    <x v="184"/>
    <x v="4"/>
    <x v="1"/>
    <x v="2"/>
    <x v="1"/>
    <x v="0"/>
    <x v="0"/>
    <x v="0"/>
    <x v="1"/>
    <x v="1"/>
  </r>
  <r>
    <x v="572"/>
    <x v="33"/>
    <x v="35"/>
    <x v="2"/>
    <x v="1"/>
    <x v="0"/>
    <x v="372"/>
    <x v="145"/>
    <x v="222"/>
    <x v="453"/>
    <x v="0"/>
    <x v="1"/>
    <x v="0"/>
    <x v="0"/>
    <x v="145"/>
    <x v="3"/>
    <x v="2"/>
    <x v="0"/>
    <x v="0"/>
    <x v="0"/>
    <x v="0"/>
    <x v="0"/>
    <x v="0"/>
    <x v="0"/>
  </r>
  <r>
    <x v="573"/>
    <x v="11"/>
    <x v="63"/>
    <x v="1"/>
    <x v="5"/>
    <x v="0"/>
    <x v="206"/>
    <x v="436"/>
    <x v="61"/>
    <x v="942"/>
    <x v="1"/>
    <x v="0"/>
    <x v="1"/>
    <x v="1"/>
    <x v="52"/>
    <x v="0"/>
    <x v="0"/>
    <x v="0"/>
    <x v="0"/>
    <x v="1"/>
    <x v="1"/>
    <x v="0"/>
    <x v="0"/>
    <x v="0"/>
  </r>
  <r>
    <x v="574"/>
    <x v="49"/>
    <x v="51"/>
    <x v="0"/>
    <x v="0"/>
    <x v="1"/>
    <x v="216"/>
    <x v="445"/>
    <x v="219"/>
    <x v="34"/>
    <x v="1"/>
    <x v="0"/>
    <x v="0"/>
    <x v="1"/>
    <x v="22"/>
    <x v="2"/>
    <x v="0"/>
    <x v="1"/>
    <x v="0"/>
    <x v="0"/>
    <x v="1"/>
    <x v="0"/>
    <x v="1"/>
    <x v="1"/>
  </r>
  <r>
    <x v="575"/>
    <x v="0"/>
    <x v="55"/>
    <x v="0"/>
    <x v="1"/>
    <x v="1"/>
    <x v="34"/>
    <x v="703"/>
    <x v="15"/>
    <x v="328"/>
    <x v="2"/>
    <x v="0"/>
    <x v="0"/>
    <x v="0"/>
    <x v="184"/>
    <x v="1"/>
    <x v="0"/>
    <x v="1"/>
    <x v="0"/>
    <x v="0"/>
    <x v="1"/>
    <x v="0"/>
    <x v="1"/>
    <x v="1"/>
  </r>
  <r>
    <x v="576"/>
    <x v="29"/>
    <x v="5"/>
    <x v="1"/>
    <x v="0"/>
    <x v="0"/>
    <x v="209"/>
    <x v="197"/>
    <x v="167"/>
    <x v="827"/>
    <x v="2"/>
    <x v="0"/>
    <x v="1"/>
    <x v="1"/>
    <x v="196"/>
    <x v="1"/>
    <x v="1"/>
    <x v="0"/>
    <x v="2"/>
    <x v="1"/>
    <x v="1"/>
    <x v="0"/>
    <x v="0"/>
    <x v="0"/>
  </r>
  <r>
    <x v="577"/>
    <x v="18"/>
    <x v="14"/>
    <x v="1"/>
    <x v="1"/>
    <x v="0"/>
    <x v="313"/>
    <x v="622"/>
    <x v="80"/>
    <x v="759"/>
    <x v="0"/>
    <x v="1"/>
    <x v="0"/>
    <x v="0"/>
    <x v="184"/>
    <x v="1"/>
    <x v="1"/>
    <x v="0"/>
    <x v="1"/>
    <x v="0"/>
    <x v="0"/>
    <x v="0"/>
    <x v="0"/>
    <x v="0"/>
  </r>
  <r>
    <x v="578"/>
    <x v="26"/>
    <x v="19"/>
    <x v="1"/>
    <x v="0"/>
    <x v="0"/>
    <x v="65"/>
    <x v="420"/>
    <x v="51"/>
    <x v="825"/>
    <x v="1"/>
    <x v="0"/>
    <x v="1"/>
    <x v="1"/>
    <x v="136"/>
    <x v="0"/>
    <x v="2"/>
    <x v="0"/>
    <x v="1"/>
    <x v="1"/>
    <x v="1"/>
    <x v="0"/>
    <x v="0"/>
    <x v="0"/>
  </r>
  <r>
    <x v="579"/>
    <x v="29"/>
    <x v="21"/>
    <x v="1"/>
    <x v="3"/>
    <x v="1"/>
    <x v="297"/>
    <x v="747"/>
    <x v="158"/>
    <x v="523"/>
    <x v="2"/>
    <x v="0"/>
    <x v="1"/>
    <x v="2"/>
    <x v="232"/>
    <x v="1"/>
    <x v="3"/>
    <x v="0"/>
    <x v="1"/>
    <x v="1"/>
    <x v="1"/>
    <x v="0"/>
    <x v="1"/>
    <x v="1"/>
  </r>
  <r>
    <x v="580"/>
    <x v="37"/>
    <x v="13"/>
    <x v="1"/>
    <x v="1"/>
    <x v="1"/>
    <x v="241"/>
    <x v="720"/>
    <x v="181"/>
    <x v="858"/>
    <x v="2"/>
    <x v="0"/>
    <x v="1"/>
    <x v="1"/>
    <x v="326"/>
    <x v="1"/>
    <x v="0"/>
    <x v="1"/>
    <x v="1"/>
    <x v="1"/>
    <x v="1"/>
    <x v="0"/>
    <x v="1"/>
    <x v="1"/>
  </r>
  <r>
    <x v="581"/>
    <x v="53"/>
    <x v="69"/>
    <x v="0"/>
    <x v="1"/>
    <x v="1"/>
    <x v="142"/>
    <x v="468"/>
    <x v="179"/>
    <x v="29"/>
    <x v="0"/>
    <x v="1"/>
    <x v="1"/>
    <x v="2"/>
    <x v="99"/>
    <x v="2"/>
    <x v="0"/>
    <x v="0"/>
    <x v="0"/>
    <x v="1"/>
    <x v="0"/>
    <x v="0"/>
    <x v="1"/>
    <x v="1"/>
  </r>
  <r>
    <x v="582"/>
    <x v="32"/>
    <x v="11"/>
    <x v="2"/>
    <x v="2"/>
    <x v="0"/>
    <x v="346"/>
    <x v="307"/>
    <x v="130"/>
    <x v="480"/>
    <x v="0"/>
    <x v="1"/>
    <x v="0"/>
    <x v="1"/>
    <x v="198"/>
    <x v="0"/>
    <x v="0"/>
    <x v="2"/>
    <x v="1"/>
    <x v="0"/>
    <x v="0"/>
    <x v="0"/>
    <x v="0"/>
    <x v="0"/>
  </r>
  <r>
    <x v="583"/>
    <x v="13"/>
    <x v="50"/>
    <x v="0"/>
    <x v="3"/>
    <x v="1"/>
    <x v="7"/>
    <x v="544"/>
    <x v="124"/>
    <x v="203"/>
    <x v="0"/>
    <x v="1"/>
    <x v="0"/>
    <x v="0"/>
    <x v="289"/>
    <x v="6"/>
    <x v="2"/>
    <x v="1"/>
    <x v="0"/>
    <x v="0"/>
    <x v="0"/>
    <x v="0"/>
    <x v="1"/>
    <x v="1"/>
  </r>
  <r>
    <x v="584"/>
    <x v="30"/>
    <x v="42"/>
    <x v="2"/>
    <x v="0"/>
    <x v="0"/>
    <x v="274"/>
    <x v="339"/>
    <x v="152"/>
    <x v="371"/>
    <x v="0"/>
    <x v="1"/>
    <x v="0"/>
    <x v="0"/>
    <x v="100"/>
    <x v="3"/>
    <x v="1"/>
    <x v="1"/>
    <x v="0"/>
    <x v="0"/>
    <x v="0"/>
    <x v="0"/>
    <x v="0"/>
    <x v="0"/>
  </r>
  <r>
    <x v="585"/>
    <x v="29"/>
    <x v="43"/>
    <x v="1"/>
    <x v="5"/>
    <x v="1"/>
    <x v="425"/>
    <x v="769"/>
    <x v="136"/>
    <x v="935"/>
    <x v="1"/>
    <x v="0"/>
    <x v="1"/>
    <x v="2"/>
    <x v="185"/>
    <x v="1"/>
    <x v="1"/>
    <x v="2"/>
    <x v="0"/>
    <x v="1"/>
    <x v="1"/>
    <x v="0"/>
    <x v="1"/>
    <x v="1"/>
  </r>
  <r>
    <x v="586"/>
    <x v="50"/>
    <x v="15"/>
    <x v="0"/>
    <x v="2"/>
    <x v="1"/>
    <x v="410"/>
    <x v="432"/>
    <x v="153"/>
    <x v="982"/>
    <x v="1"/>
    <x v="0"/>
    <x v="0"/>
    <x v="2"/>
    <x v="183"/>
    <x v="1"/>
    <x v="0"/>
    <x v="0"/>
    <x v="1"/>
    <x v="0"/>
    <x v="1"/>
    <x v="0"/>
    <x v="1"/>
    <x v="1"/>
  </r>
  <r>
    <x v="587"/>
    <x v="32"/>
    <x v="22"/>
    <x v="2"/>
    <x v="3"/>
    <x v="1"/>
    <x v="280"/>
    <x v="258"/>
    <x v="129"/>
    <x v="612"/>
    <x v="0"/>
    <x v="1"/>
    <x v="1"/>
    <x v="1"/>
    <x v="47"/>
    <x v="1"/>
    <x v="1"/>
    <x v="1"/>
    <x v="1"/>
    <x v="1"/>
    <x v="0"/>
    <x v="0"/>
    <x v="1"/>
    <x v="1"/>
  </r>
  <r>
    <x v="588"/>
    <x v="50"/>
    <x v="43"/>
    <x v="0"/>
    <x v="2"/>
    <x v="0"/>
    <x v="186"/>
    <x v="236"/>
    <x v="174"/>
    <x v="301"/>
    <x v="0"/>
    <x v="1"/>
    <x v="0"/>
    <x v="0"/>
    <x v="184"/>
    <x v="1"/>
    <x v="1"/>
    <x v="0"/>
    <x v="0"/>
    <x v="0"/>
    <x v="0"/>
    <x v="0"/>
    <x v="0"/>
    <x v="0"/>
  </r>
  <r>
    <x v="589"/>
    <x v="37"/>
    <x v="21"/>
    <x v="0"/>
    <x v="2"/>
    <x v="0"/>
    <x v="144"/>
    <x v="65"/>
    <x v="6"/>
    <x v="229"/>
    <x v="0"/>
    <x v="1"/>
    <x v="0"/>
    <x v="0"/>
    <x v="191"/>
    <x v="1"/>
    <x v="1"/>
    <x v="1"/>
    <x v="1"/>
    <x v="0"/>
    <x v="0"/>
    <x v="0"/>
    <x v="0"/>
    <x v="0"/>
  </r>
  <r>
    <x v="590"/>
    <x v="33"/>
    <x v="49"/>
    <x v="0"/>
    <x v="0"/>
    <x v="0"/>
    <x v="186"/>
    <x v="561"/>
    <x v="106"/>
    <x v="188"/>
    <x v="0"/>
    <x v="1"/>
    <x v="0"/>
    <x v="1"/>
    <x v="250"/>
    <x v="2"/>
    <x v="0"/>
    <x v="0"/>
    <x v="0"/>
    <x v="0"/>
    <x v="0"/>
    <x v="0"/>
    <x v="0"/>
    <x v="0"/>
  </r>
  <r>
    <x v="591"/>
    <x v="19"/>
    <x v="2"/>
    <x v="0"/>
    <x v="3"/>
    <x v="0"/>
    <x v="304"/>
    <x v="143"/>
    <x v="21"/>
    <x v="148"/>
    <x v="0"/>
    <x v="1"/>
    <x v="2"/>
    <x v="4"/>
    <x v="60"/>
    <x v="1"/>
    <x v="0"/>
    <x v="0"/>
    <x v="2"/>
    <x v="1"/>
    <x v="0"/>
    <x v="0"/>
    <x v="0"/>
    <x v="0"/>
  </r>
  <r>
    <x v="592"/>
    <x v="14"/>
    <x v="5"/>
    <x v="1"/>
    <x v="3"/>
    <x v="0"/>
    <x v="125"/>
    <x v="683"/>
    <x v="134"/>
    <x v="706"/>
    <x v="0"/>
    <x v="1"/>
    <x v="1"/>
    <x v="1"/>
    <x v="188"/>
    <x v="1"/>
    <x v="0"/>
    <x v="0"/>
    <x v="2"/>
    <x v="1"/>
    <x v="0"/>
    <x v="0"/>
    <x v="0"/>
    <x v="0"/>
  </r>
  <r>
    <x v="593"/>
    <x v="5"/>
    <x v="52"/>
    <x v="2"/>
    <x v="1"/>
    <x v="1"/>
    <x v="333"/>
    <x v="54"/>
    <x v="227"/>
    <x v="479"/>
    <x v="1"/>
    <x v="0"/>
    <x v="1"/>
    <x v="1"/>
    <x v="325"/>
    <x v="1"/>
    <x v="0"/>
    <x v="0"/>
    <x v="0"/>
    <x v="1"/>
    <x v="1"/>
    <x v="0"/>
    <x v="1"/>
    <x v="1"/>
  </r>
  <r>
    <x v="594"/>
    <x v="31"/>
    <x v="44"/>
    <x v="1"/>
    <x v="2"/>
    <x v="0"/>
    <x v="459"/>
    <x v="446"/>
    <x v="82"/>
    <x v="867"/>
    <x v="0"/>
    <x v="1"/>
    <x v="0"/>
    <x v="0"/>
    <x v="359"/>
    <x v="2"/>
    <x v="0"/>
    <x v="1"/>
    <x v="0"/>
    <x v="0"/>
    <x v="0"/>
    <x v="0"/>
    <x v="0"/>
    <x v="0"/>
  </r>
  <r>
    <x v="595"/>
    <x v="53"/>
    <x v="3"/>
    <x v="2"/>
    <x v="3"/>
    <x v="0"/>
    <x v="221"/>
    <x v="690"/>
    <x v="124"/>
    <x v="485"/>
    <x v="0"/>
    <x v="1"/>
    <x v="0"/>
    <x v="1"/>
    <x v="317"/>
    <x v="1"/>
    <x v="3"/>
    <x v="2"/>
    <x v="2"/>
    <x v="0"/>
    <x v="0"/>
    <x v="0"/>
    <x v="0"/>
    <x v="0"/>
  </r>
  <r>
    <x v="596"/>
    <x v="0"/>
    <x v="64"/>
    <x v="0"/>
    <x v="5"/>
    <x v="0"/>
    <x v="63"/>
    <x v="0"/>
    <x v="168"/>
    <x v="53"/>
    <x v="0"/>
    <x v="1"/>
    <x v="0"/>
    <x v="0"/>
    <x v="184"/>
    <x v="2"/>
    <x v="1"/>
    <x v="1"/>
    <x v="0"/>
    <x v="0"/>
    <x v="0"/>
    <x v="1"/>
    <x v="0"/>
    <x v="0"/>
  </r>
  <r>
    <x v="597"/>
    <x v="55"/>
    <x v="0"/>
    <x v="0"/>
    <x v="5"/>
    <x v="1"/>
    <x v="63"/>
    <x v="798"/>
    <x v="0"/>
    <x v="97"/>
    <x v="1"/>
    <x v="0"/>
    <x v="1"/>
    <x v="2"/>
    <x v="239"/>
    <x v="2"/>
    <x v="0"/>
    <x v="0"/>
    <x v="2"/>
    <x v="1"/>
    <x v="1"/>
    <x v="0"/>
    <x v="1"/>
    <x v="1"/>
  </r>
  <r>
    <x v="598"/>
    <x v="49"/>
    <x v="68"/>
    <x v="1"/>
    <x v="0"/>
    <x v="1"/>
    <x v="335"/>
    <x v="250"/>
    <x v="78"/>
    <x v="636"/>
    <x v="2"/>
    <x v="0"/>
    <x v="0"/>
    <x v="1"/>
    <x v="134"/>
    <x v="3"/>
    <x v="0"/>
    <x v="0"/>
    <x v="0"/>
    <x v="0"/>
    <x v="1"/>
    <x v="0"/>
    <x v="1"/>
    <x v="1"/>
  </r>
  <r>
    <x v="599"/>
    <x v="25"/>
    <x v="52"/>
    <x v="0"/>
    <x v="1"/>
    <x v="0"/>
    <x v="221"/>
    <x v="452"/>
    <x v="141"/>
    <x v="116"/>
    <x v="0"/>
    <x v="1"/>
    <x v="0"/>
    <x v="0"/>
    <x v="221"/>
    <x v="0"/>
    <x v="2"/>
    <x v="0"/>
    <x v="0"/>
    <x v="0"/>
    <x v="0"/>
    <x v="0"/>
    <x v="0"/>
    <x v="0"/>
  </r>
  <r>
    <x v="600"/>
    <x v="18"/>
    <x v="71"/>
    <x v="1"/>
    <x v="1"/>
    <x v="0"/>
    <x v="348"/>
    <x v="566"/>
    <x v="0"/>
    <x v="944"/>
    <x v="0"/>
    <x v="1"/>
    <x v="5"/>
    <x v="5"/>
    <x v="100"/>
    <x v="3"/>
    <x v="2"/>
    <x v="0"/>
    <x v="0"/>
    <x v="1"/>
    <x v="0"/>
    <x v="0"/>
    <x v="0"/>
    <x v="0"/>
  </r>
  <r>
    <x v="601"/>
    <x v="33"/>
    <x v="68"/>
    <x v="0"/>
    <x v="5"/>
    <x v="0"/>
    <x v="158"/>
    <x v="611"/>
    <x v="49"/>
    <x v="234"/>
    <x v="1"/>
    <x v="0"/>
    <x v="0"/>
    <x v="0"/>
    <x v="13"/>
    <x v="0"/>
    <x v="1"/>
    <x v="0"/>
    <x v="0"/>
    <x v="0"/>
    <x v="1"/>
    <x v="0"/>
    <x v="0"/>
    <x v="0"/>
  </r>
  <r>
    <x v="602"/>
    <x v="49"/>
    <x v="22"/>
    <x v="2"/>
    <x v="0"/>
    <x v="0"/>
    <x v="343"/>
    <x v="493"/>
    <x v="192"/>
    <x v="478"/>
    <x v="0"/>
    <x v="1"/>
    <x v="0"/>
    <x v="0"/>
    <x v="150"/>
    <x v="1"/>
    <x v="0"/>
    <x v="0"/>
    <x v="1"/>
    <x v="0"/>
    <x v="0"/>
    <x v="0"/>
    <x v="0"/>
    <x v="0"/>
  </r>
  <r>
    <x v="603"/>
    <x v="1"/>
    <x v="54"/>
    <x v="1"/>
    <x v="5"/>
    <x v="0"/>
    <x v="207"/>
    <x v="662"/>
    <x v="185"/>
    <x v="951"/>
    <x v="0"/>
    <x v="1"/>
    <x v="0"/>
    <x v="0"/>
    <x v="266"/>
    <x v="0"/>
    <x v="1"/>
    <x v="2"/>
    <x v="0"/>
    <x v="0"/>
    <x v="0"/>
    <x v="0"/>
    <x v="0"/>
    <x v="0"/>
  </r>
  <r>
    <x v="604"/>
    <x v="26"/>
    <x v="15"/>
    <x v="0"/>
    <x v="0"/>
    <x v="0"/>
    <x v="132"/>
    <x v="549"/>
    <x v="141"/>
    <x v="293"/>
    <x v="0"/>
    <x v="1"/>
    <x v="1"/>
    <x v="1"/>
    <x v="222"/>
    <x v="0"/>
    <x v="1"/>
    <x v="1"/>
    <x v="1"/>
    <x v="1"/>
    <x v="0"/>
    <x v="0"/>
    <x v="0"/>
    <x v="0"/>
  </r>
  <r>
    <x v="605"/>
    <x v="2"/>
    <x v="33"/>
    <x v="0"/>
    <x v="5"/>
    <x v="0"/>
    <x v="174"/>
    <x v="776"/>
    <x v="177"/>
    <x v="49"/>
    <x v="0"/>
    <x v="1"/>
    <x v="0"/>
    <x v="1"/>
    <x v="233"/>
    <x v="0"/>
    <x v="1"/>
    <x v="0"/>
    <x v="0"/>
    <x v="0"/>
    <x v="0"/>
    <x v="0"/>
    <x v="0"/>
    <x v="0"/>
  </r>
  <r>
    <x v="606"/>
    <x v="37"/>
    <x v="17"/>
    <x v="1"/>
    <x v="0"/>
    <x v="0"/>
    <x v="76"/>
    <x v="550"/>
    <x v="130"/>
    <x v="954"/>
    <x v="0"/>
    <x v="1"/>
    <x v="1"/>
    <x v="2"/>
    <x v="213"/>
    <x v="0"/>
    <x v="2"/>
    <x v="0"/>
    <x v="1"/>
    <x v="1"/>
    <x v="0"/>
    <x v="0"/>
    <x v="0"/>
    <x v="0"/>
  </r>
  <r>
    <x v="607"/>
    <x v="4"/>
    <x v="34"/>
    <x v="0"/>
    <x v="2"/>
    <x v="0"/>
    <x v="450"/>
    <x v="793"/>
    <x v="154"/>
    <x v="151"/>
    <x v="0"/>
    <x v="1"/>
    <x v="0"/>
    <x v="0"/>
    <x v="234"/>
    <x v="1"/>
    <x v="0"/>
    <x v="0"/>
    <x v="0"/>
    <x v="0"/>
    <x v="0"/>
    <x v="0"/>
    <x v="0"/>
    <x v="0"/>
  </r>
  <r>
    <x v="608"/>
    <x v="18"/>
    <x v="62"/>
    <x v="2"/>
    <x v="5"/>
    <x v="0"/>
    <x v="216"/>
    <x v="643"/>
    <x v="93"/>
    <x v="609"/>
    <x v="1"/>
    <x v="0"/>
    <x v="0"/>
    <x v="0"/>
    <x v="247"/>
    <x v="1"/>
    <x v="0"/>
    <x v="0"/>
    <x v="0"/>
    <x v="0"/>
    <x v="1"/>
    <x v="0"/>
    <x v="0"/>
    <x v="0"/>
  </r>
  <r>
    <x v="609"/>
    <x v="42"/>
    <x v="31"/>
    <x v="2"/>
    <x v="3"/>
    <x v="1"/>
    <x v="318"/>
    <x v="0"/>
    <x v="123"/>
    <x v="578"/>
    <x v="0"/>
    <x v="1"/>
    <x v="1"/>
    <x v="1"/>
    <x v="158"/>
    <x v="4"/>
    <x v="1"/>
    <x v="1"/>
    <x v="0"/>
    <x v="1"/>
    <x v="0"/>
    <x v="1"/>
    <x v="1"/>
    <x v="1"/>
  </r>
  <r>
    <x v="610"/>
    <x v="43"/>
    <x v="6"/>
    <x v="0"/>
    <x v="1"/>
    <x v="0"/>
    <x v="157"/>
    <x v="809"/>
    <x v="71"/>
    <x v="103"/>
    <x v="1"/>
    <x v="0"/>
    <x v="0"/>
    <x v="0"/>
    <x v="197"/>
    <x v="2"/>
    <x v="0"/>
    <x v="0"/>
    <x v="1"/>
    <x v="0"/>
    <x v="1"/>
    <x v="0"/>
    <x v="0"/>
    <x v="0"/>
  </r>
  <r>
    <x v="611"/>
    <x v="13"/>
    <x v="23"/>
    <x v="1"/>
    <x v="5"/>
    <x v="0"/>
    <x v="94"/>
    <x v="205"/>
    <x v="203"/>
    <x v="828"/>
    <x v="0"/>
    <x v="1"/>
    <x v="0"/>
    <x v="1"/>
    <x v="344"/>
    <x v="1"/>
    <x v="1"/>
    <x v="0"/>
    <x v="1"/>
    <x v="0"/>
    <x v="0"/>
    <x v="0"/>
    <x v="0"/>
    <x v="0"/>
  </r>
  <r>
    <x v="612"/>
    <x v="29"/>
    <x v="56"/>
    <x v="1"/>
    <x v="0"/>
    <x v="0"/>
    <x v="196"/>
    <x v="749"/>
    <x v="221"/>
    <x v="875"/>
    <x v="1"/>
    <x v="0"/>
    <x v="1"/>
    <x v="2"/>
    <x v="204"/>
    <x v="0"/>
    <x v="0"/>
    <x v="0"/>
    <x v="0"/>
    <x v="1"/>
    <x v="1"/>
    <x v="0"/>
    <x v="0"/>
    <x v="0"/>
  </r>
  <r>
    <x v="613"/>
    <x v="10"/>
    <x v="37"/>
    <x v="2"/>
    <x v="0"/>
    <x v="1"/>
    <x v="376"/>
    <x v="413"/>
    <x v="212"/>
    <x v="492"/>
    <x v="1"/>
    <x v="0"/>
    <x v="0"/>
    <x v="1"/>
    <x v="192"/>
    <x v="1"/>
    <x v="1"/>
    <x v="0"/>
    <x v="0"/>
    <x v="0"/>
    <x v="1"/>
    <x v="0"/>
    <x v="1"/>
    <x v="1"/>
  </r>
  <r>
    <x v="614"/>
    <x v="34"/>
    <x v="40"/>
    <x v="1"/>
    <x v="3"/>
    <x v="0"/>
    <x v="160"/>
    <x v="673"/>
    <x v="86"/>
    <x v="757"/>
    <x v="1"/>
    <x v="0"/>
    <x v="2"/>
    <x v="3"/>
    <x v="199"/>
    <x v="1"/>
    <x v="1"/>
    <x v="0"/>
    <x v="0"/>
    <x v="1"/>
    <x v="1"/>
    <x v="0"/>
    <x v="0"/>
    <x v="0"/>
  </r>
  <r>
    <x v="615"/>
    <x v="0"/>
    <x v="31"/>
    <x v="0"/>
    <x v="5"/>
    <x v="1"/>
    <x v="116"/>
    <x v="175"/>
    <x v="50"/>
    <x v="197"/>
    <x v="2"/>
    <x v="0"/>
    <x v="0"/>
    <x v="0"/>
    <x v="165"/>
    <x v="0"/>
    <x v="0"/>
    <x v="2"/>
    <x v="0"/>
    <x v="0"/>
    <x v="1"/>
    <x v="0"/>
    <x v="1"/>
    <x v="1"/>
  </r>
  <r>
    <x v="616"/>
    <x v="47"/>
    <x v="21"/>
    <x v="0"/>
    <x v="5"/>
    <x v="0"/>
    <x v="250"/>
    <x v="587"/>
    <x v="204"/>
    <x v="368"/>
    <x v="0"/>
    <x v="1"/>
    <x v="0"/>
    <x v="1"/>
    <x v="140"/>
    <x v="1"/>
    <x v="1"/>
    <x v="0"/>
    <x v="1"/>
    <x v="0"/>
    <x v="0"/>
    <x v="0"/>
    <x v="0"/>
    <x v="0"/>
  </r>
  <r>
    <x v="617"/>
    <x v="1"/>
    <x v="43"/>
    <x v="2"/>
    <x v="3"/>
    <x v="0"/>
    <x v="297"/>
    <x v="310"/>
    <x v="153"/>
    <x v="419"/>
    <x v="0"/>
    <x v="1"/>
    <x v="1"/>
    <x v="2"/>
    <x v="212"/>
    <x v="1"/>
    <x v="1"/>
    <x v="0"/>
    <x v="0"/>
    <x v="1"/>
    <x v="0"/>
    <x v="0"/>
    <x v="0"/>
    <x v="0"/>
  </r>
  <r>
    <x v="618"/>
    <x v="35"/>
    <x v="45"/>
    <x v="1"/>
    <x v="2"/>
    <x v="0"/>
    <x v="427"/>
    <x v="760"/>
    <x v="138"/>
    <x v="838"/>
    <x v="0"/>
    <x v="1"/>
    <x v="2"/>
    <x v="4"/>
    <x v="131"/>
    <x v="0"/>
    <x v="0"/>
    <x v="0"/>
    <x v="0"/>
    <x v="1"/>
    <x v="0"/>
    <x v="0"/>
    <x v="0"/>
    <x v="0"/>
  </r>
  <r>
    <x v="619"/>
    <x v="23"/>
    <x v="64"/>
    <x v="0"/>
    <x v="2"/>
    <x v="0"/>
    <x v="275"/>
    <x v="527"/>
    <x v="71"/>
    <x v="167"/>
    <x v="1"/>
    <x v="0"/>
    <x v="0"/>
    <x v="0"/>
    <x v="172"/>
    <x v="0"/>
    <x v="0"/>
    <x v="0"/>
    <x v="0"/>
    <x v="0"/>
    <x v="1"/>
    <x v="0"/>
    <x v="0"/>
    <x v="0"/>
  </r>
  <r>
    <x v="620"/>
    <x v="12"/>
    <x v="44"/>
    <x v="0"/>
    <x v="5"/>
    <x v="0"/>
    <x v="318"/>
    <x v="652"/>
    <x v="145"/>
    <x v="202"/>
    <x v="0"/>
    <x v="1"/>
    <x v="3"/>
    <x v="3"/>
    <x v="98"/>
    <x v="1"/>
    <x v="0"/>
    <x v="0"/>
    <x v="0"/>
    <x v="1"/>
    <x v="0"/>
    <x v="0"/>
    <x v="0"/>
    <x v="0"/>
  </r>
  <r>
    <x v="621"/>
    <x v="31"/>
    <x v="71"/>
    <x v="2"/>
    <x v="1"/>
    <x v="0"/>
    <x v="329"/>
    <x v="0"/>
    <x v="41"/>
    <x v="497"/>
    <x v="0"/>
    <x v="1"/>
    <x v="0"/>
    <x v="0"/>
    <x v="184"/>
    <x v="1"/>
    <x v="0"/>
    <x v="0"/>
    <x v="0"/>
    <x v="0"/>
    <x v="0"/>
    <x v="1"/>
    <x v="0"/>
    <x v="0"/>
  </r>
  <r>
    <x v="622"/>
    <x v="8"/>
    <x v="59"/>
    <x v="1"/>
    <x v="0"/>
    <x v="0"/>
    <x v="81"/>
    <x v="373"/>
    <x v="159"/>
    <x v="796"/>
    <x v="1"/>
    <x v="0"/>
    <x v="1"/>
    <x v="2"/>
    <x v="253"/>
    <x v="2"/>
    <x v="1"/>
    <x v="0"/>
    <x v="0"/>
    <x v="1"/>
    <x v="1"/>
    <x v="0"/>
    <x v="0"/>
    <x v="0"/>
  </r>
  <r>
    <x v="623"/>
    <x v="33"/>
    <x v="5"/>
    <x v="0"/>
    <x v="1"/>
    <x v="1"/>
    <x v="106"/>
    <x v="518"/>
    <x v="212"/>
    <x v="58"/>
    <x v="0"/>
    <x v="1"/>
    <x v="2"/>
    <x v="2"/>
    <x v="166"/>
    <x v="1"/>
    <x v="0"/>
    <x v="0"/>
    <x v="2"/>
    <x v="1"/>
    <x v="0"/>
    <x v="0"/>
    <x v="1"/>
    <x v="1"/>
  </r>
  <r>
    <x v="624"/>
    <x v="37"/>
    <x v="28"/>
    <x v="2"/>
    <x v="0"/>
    <x v="0"/>
    <x v="90"/>
    <x v="484"/>
    <x v="226"/>
    <x v="470"/>
    <x v="0"/>
    <x v="1"/>
    <x v="0"/>
    <x v="0"/>
    <x v="184"/>
    <x v="0"/>
    <x v="1"/>
    <x v="1"/>
    <x v="0"/>
    <x v="0"/>
    <x v="0"/>
    <x v="0"/>
    <x v="0"/>
    <x v="0"/>
  </r>
  <r>
    <x v="625"/>
    <x v="26"/>
    <x v="27"/>
    <x v="2"/>
    <x v="3"/>
    <x v="0"/>
    <x v="65"/>
    <x v="656"/>
    <x v="165"/>
    <x v="484"/>
    <x v="0"/>
    <x v="1"/>
    <x v="0"/>
    <x v="0"/>
    <x v="254"/>
    <x v="2"/>
    <x v="0"/>
    <x v="0"/>
    <x v="0"/>
    <x v="0"/>
    <x v="0"/>
    <x v="0"/>
    <x v="0"/>
    <x v="0"/>
  </r>
  <r>
    <x v="626"/>
    <x v="20"/>
    <x v="0"/>
    <x v="2"/>
    <x v="5"/>
    <x v="0"/>
    <x v="338"/>
    <x v="273"/>
    <x v="21"/>
    <x v="483"/>
    <x v="0"/>
    <x v="1"/>
    <x v="2"/>
    <x v="4"/>
    <x v="201"/>
    <x v="0"/>
    <x v="2"/>
    <x v="0"/>
    <x v="2"/>
    <x v="1"/>
    <x v="0"/>
    <x v="0"/>
    <x v="0"/>
    <x v="0"/>
  </r>
  <r>
    <x v="627"/>
    <x v="26"/>
    <x v="13"/>
    <x v="0"/>
    <x v="2"/>
    <x v="0"/>
    <x v="268"/>
    <x v="423"/>
    <x v="129"/>
    <x v="263"/>
    <x v="0"/>
    <x v="1"/>
    <x v="0"/>
    <x v="0"/>
    <x v="76"/>
    <x v="3"/>
    <x v="0"/>
    <x v="1"/>
    <x v="1"/>
    <x v="0"/>
    <x v="0"/>
    <x v="0"/>
    <x v="0"/>
    <x v="0"/>
  </r>
  <r>
    <x v="628"/>
    <x v="55"/>
    <x v="54"/>
    <x v="0"/>
    <x v="1"/>
    <x v="0"/>
    <x v="240"/>
    <x v="698"/>
    <x v="246"/>
    <x v="315"/>
    <x v="1"/>
    <x v="0"/>
    <x v="1"/>
    <x v="1"/>
    <x v="272"/>
    <x v="1"/>
    <x v="0"/>
    <x v="0"/>
    <x v="0"/>
    <x v="1"/>
    <x v="1"/>
    <x v="0"/>
    <x v="0"/>
    <x v="0"/>
  </r>
  <r>
    <x v="629"/>
    <x v="43"/>
    <x v="25"/>
    <x v="2"/>
    <x v="5"/>
    <x v="0"/>
    <x v="0"/>
    <x v="0"/>
    <x v="54"/>
    <x v="406"/>
    <x v="1"/>
    <x v="0"/>
    <x v="0"/>
    <x v="0"/>
    <x v="37"/>
    <x v="1"/>
    <x v="1"/>
    <x v="0"/>
    <x v="0"/>
    <x v="0"/>
    <x v="1"/>
    <x v="1"/>
    <x v="0"/>
    <x v="0"/>
  </r>
  <r>
    <x v="630"/>
    <x v="0"/>
    <x v="10"/>
    <x v="2"/>
    <x v="0"/>
    <x v="0"/>
    <x v="453"/>
    <x v="573"/>
    <x v="111"/>
    <x v="241"/>
    <x v="0"/>
    <x v="1"/>
    <x v="0"/>
    <x v="0"/>
    <x v="296"/>
    <x v="2"/>
    <x v="2"/>
    <x v="1"/>
    <x v="1"/>
    <x v="0"/>
    <x v="0"/>
    <x v="0"/>
    <x v="0"/>
    <x v="0"/>
  </r>
  <r>
    <x v="631"/>
    <x v="16"/>
    <x v="20"/>
    <x v="1"/>
    <x v="5"/>
    <x v="0"/>
    <x v="113"/>
    <x v="285"/>
    <x v="213"/>
    <x v="873"/>
    <x v="0"/>
    <x v="1"/>
    <x v="0"/>
    <x v="0"/>
    <x v="181"/>
    <x v="0"/>
    <x v="1"/>
    <x v="0"/>
    <x v="1"/>
    <x v="0"/>
    <x v="0"/>
    <x v="0"/>
    <x v="0"/>
    <x v="0"/>
  </r>
  <r>
    <x v="632"/>
    <x v="1"/>
    <x v="19"/>
    <x v="2"/>
    <x v="2"/>
    <x v="1"/>
    <x v="453"/>
    <x v="126"/>
    <x v="158"/>
    <x v="442"/>
    <x v="0"/>
    <x v="1"/>
    <x v="0"/>
    <x v="1"/>
    <x v="0"/>
    <x v="1"/>
    <x v="0"/>
    <x v="0"/>
    <x v="1"/>
    <x v="0"/>
    <x v="0"/>
    <x v="0"/>
    <x v="1"/>
    <x v="1"/>
  </r>
  <r>
    <x v="633"/>
    <x v="13"/>
    <x v="12"/>
    <x v="2"/>
    <x v="3"/>
    <x v="0"/>
    <x v="53"/>
    <x v="499"/>
    <x v="251"/>
    <x v="428"/>
    <x v="1"/>
    <x v="0"/>
    <x v="1"/>
    <x v="2"/>
    <x v="208"/>
    <x v="1"/>
    <x v="0"/>
    <x v="0"/>
    <x v="1"/>
    <x v="1"/>
    <x v="1"/>
    <x v="0"/>
    <x v="0"/>
    <x v="0"/>
  </r>
  <r>
    <x v="634"/>
    <x v="45"/>
    <x v="7"/>
    <x v="1"/>
    <x v="2"/>
    <x v="0"/>
    <x v="124"/>
    <x v="704"/>
    <x v="64"/>
    <x v="764"/>
    <x v="0"/>
    <x v="1"/>
    <x v="1"/>
    <x v="1"/>
    <x v="143"/>
    <x v="1"/>
    <x v="1"/>
    <x v="0"/>
    <x v="1"/>
    <x v="1"/>
    <x v="0"/>
    <x v="0"/>
    <x v="0"/>
    <x v="0"/>
  </r>
  <r>
    <x v="635"/>
    <x v="49"/>
    <x v="55"/>
    <x v="2"/>
    <x v="2"/>
    <x v="0"/>
    <x v="7"/>
    <x v="667"/>
    <x v="48"/>
    <x v="642"/>
    <x v="1"/>
    <x v="0"/>
    <x v="0"/>
    <x v="0"/>
    <x v="126"/>
    <x v="1"/>
    <x v="1"/>
    <x v="0"/>
    <x v="0"/>
    <x v="0"/>
    <x v="1"/>
    <x v="0"/>
    <x v="0"/>
    <x v="0"/>
  </r>
  <r>
    <x v="636"/>
    <x v="26"/>
    <x v="59"/>
    <x v="2"/>
    <x v="5"/>
    <x v="0"/>
    <x v="276"/>
    <x v="355"/>
    <x v="201"/>
    <x v="528"/>
    <x v="0"/>
    <x v="1"/>
    <x v="0"/>
    <x v="0"/>
    <x v="184"/>
    <x v="1"/>
    <x v="0"/>
    <x v="0"/>
    <x v="0"/>
    <x v="0"/>
    <x v="0"/>
    <x v="0"/>
    <x v="0"/>
    <x v="0"/>
  </r>
  <r>
    <x v="637"/>
    <x v="39"/>
    <x v="35"/>
    <x v="1"/>
    <x v="5"/>
    <x v="0"/>
    <x v="88"/>
    <x v="640"/>
    <x v="33"/>
    <x v="850"/>
    <x v="0"/>
    <x v="1"/>
    <x v="0"/>
    <x v="2"/>
    <x v="174"/>
    <x v="2"/>
    <x v="0"/>
    <x v="0"/>
    <x v="0"/>
    <x v="0"/>
    <x v="0"/>
    <x v="0"/>
    <x v="0"/>
    <x v="0"/>
  </r>
  <r>
    <x v="638"/>
    <x v="21"/>
    <x v="44"/>
    <x v="0"/>
    <x v="5"/>
    <x v="1"/>
    <x v="92"/>
    <x v="639"/>
    <x v="101"/>
    <x v="100"/>
    <x v="1"/>
    <x v="0"/>
    <x v="0"/>
    <x v="2"/>
    <x v="134"/>
    <x v="2"/>
    <x v="1"/>
    <x v="1"/>
    <x v="0"/>
    <x v="0"/>
    <x v="1"/>
    <x v="0"/>
    <x v="1"/>
    <x v="0"/>
  </r>
  <r>
    <x v="639"/>
    <x v="27"/>
    <x v="66"/>
    <x v="2"/>
    <x v="0"/>
    <x v="0"/>
    <x v="61"/>
    <x v="383"/>
    <x v="110"/>
    <x v="514"/>
    <x v="1"/>
    <x v="0"/>
    <x v="1"/>
    <x v="1"/>
    <x v="3"/>
    <x v="4"/>
    <x v="1"/>
    <x v="0"/>
    <x v="0"/>
    <x v="1"/>
    <x v="1"/>
    <x v="1"/>
    <x v="0"/>
    <x v="0"/>
  </r>
  <r>
    <x v="640"/>
    <x v="48"/>
    <x v="60"/>
    <x v="1"/>
    <x v="5"/>
    <x v="1"/>
    <x v="336"/>
    <x v="383"/>
    <x v="188"/>
    <x v="765"/>
    <x v="0"/>
    <x v="1"/>
    <x v="1"/>
    <x v="2"/>
    <x v="316"/>
    <x v="1"/>
    <x v="1"/>
    <x v="2"/>
    <x v="0"/>
    <x v="1"/>
    <x v="0"/>
    <x v="1"/>
    <x v="1"/>
    <x v="1"/>
  </r>
  <r>
    <x v="641"/>
    <x v="15"/>
    <x v="2"/>
    <x v="0"/>
    <x v="5"/>
    <x v="1"/>
    <x v="328"/>
    <x v="188"/>
    <x v="158"/>
    <x v="52"/>
    <x v="0"/>
    <x v="1"/>
    <x v="0"/>
    <x v="0"/>
    <x v="162"/>
    <x v="1"/>
    <x v="0"/>
    <x v="0"/>
    <x v="2"/>
    <x v="0"/>
    <x v="0"/>
    <x v="0"/>
    <x v="1"/>
    <x v="1"/>
  </r>
  <r>
    <x v="642"/>
    <x v="18"/>
    <x v="68"/>
    <x v="2"/>
    <x v="2"/>
    <x v="0"/>
    <x v="440"/>
    <x v="634"/>
    <x v="147"/>
    <x v="982"/>
    <x v="1"/>
    <x v="0"/>
    <x v="0"/>
    <x v="1"/>
    <x v="105"/>
    <x v="2"/>
    <x v="1"/>
    <x v="0"/>
    <x v="0"/>
    <x v="0"/>
    <x v="1"/>
    <x v="0"/>
    <x v="0"/>
    <x v="0"/>
  </r>
  <r>
    <x v="643"/>
    <x v="7"/>
    <x v="4"/>
    <x v="0"/>
    <x v="3"/>
    <x v="0"/>
    <x v="139"/>
    <x v="390"/>
    <x v="87"/>
    <x v="287"/>
    <x v="0"/>
    <x v="1"/>
    <x v="1"/>
    <x v="1"/>
    <x v="65"/>
    <x v="2"/>
    <x v="0"/>
    <x v="1"/>
    <x v="2"/>
    <x v="1"/>
    <x v="0"/>
    <x v="0"/>
    <x v="0"/>
    <x v="0"/>
  </r>
  <r>
    <x v="644"/>
    <x v="12"/>
    <x v="1"/>
    <x v="0"/>
    <x v="1"/>
    <x v="1"/>
    <x v="259"/>
    <x v="98"/>
    <x v="200"/>
    <x v="312"/>
    <x v="1"/>
    <x v="0"/>
    <x v="1"/>
    <x v="2"/>
    <x v="271"/>
    <x v="1"/>
    <x v="0"/>
    <x v="1"/>
    <x v="2"/>
    <x v="1"/>
    <x v="1"/>
    <x v="0"/>
    <x v="1"/>
    <x v="1"/>
  </r>
  <r>
    <x v="645"/>
    <x v="2"/>
    <x v="29"/>
    <x v="2"/>
    <x v="0"/>
    <x v="1"/>
    <x v="68"/>
    <x v="6"/>
    <x v="256"/>
    <x v="522"/>
    <x v="0"/>
    <x v="1"/>
    <x v="1"/>
    <x v="3"/>
    <x v="48"/>
    <x v="3"/>
    <x v="1"/>
    <x v="0"/>
    <x v="0"/>
    <x v="1"/>
    <x v="0"/>
    <x v="1"/>
    <x v="1"/>
    <x v="1"/>
  </r>
  <r>
    <x v="646"/>
    <x v="47"/>
    <x v="53"/>
    <x v="0"/>
    <x v="2"/>
    <x v="1"/>
    <x v="181"/>
    <x v="383"/>
    <x v="163"/>
    <x v="282"/>
    <x v="2"/>
    <x v="0"/>
    <x v="0"/>
    <x v="2"/>
    <x v="203"/>
    <x v="2"/>
    <x v="0"/>
    <x v="0"/>
    <x v="0"/>
    <x v="0"/>
    <x v="1"/>
    <x v="1"/>
    <x v="1"/>
    <x v="0"/>
  </r>
  <r>
    <x v="647"/>
    <x v="49"/>
    <x v="5"/>
    <x v="1"/>
    <x v="1"/>
    <x v="0"/>
    <x v="160"/>
    <x v="215"/>
    <x v="122"/>
    <x v="866"/>
    <x v="0"/>
    <x v="1"/>
    <x v="0"/>
    <x v="2"/>
    <x v="123"/>
    <x v="1"/>
    <x v="0"/>
    <x v="0"/>
    <x v="2"/>
    <x v="0"/>
    <x v="0"/>
    <x v="0"/>
    <x v="0"/>
    <x v="0"/>
  </r>
  <r>
    <x v="648"/>
    <x v="24"/>
    <x v="21"/>
    <x v="1"/>
    <x v="5"/>
    <x v="0"/>
    <x v="292"/>
    <x v="497"/>
    <x v="26"/>
    <x v="915"/>
    <x v="0"/>
    <x v="1"/>
    <x v="0"/>
    <x v="1"/>
    <x v="129"/>
    <x v="4"/>
    <x v="0"/>
    <x v="0"/>
    <x v="1"/>
    <x v="0"/>
    <x v="0"/>
    <x v="0"/>
    <x v="0"/>
    <x v="0"/>
  </r>
  <r>
    <x v="649"/>
    <x v="34"/>
    <x v="18"/>
    <x v="1"/>
    <x v="2"/>
    <x v="1"/>
    <x v="368"/>
    <x v="708"/>
    <x v="70"/>
    <x v="844"/>
    <x v="1"/>
    <x v="0"/>
    <x v="0"/>
    <x v="0"/>
    <x v="68"/>
    <x v="3"/>
    <x v="1"/>
    <x v="1"/>
    <x v="1"/>
    <x v="0"/>
    <x v="1"/>
    <x v="0"/>
    <x v="1"/>
    <x v="1"/>
  </r>
  <r>
    <x v="650"/>
    <x v="14"/>
    <x v="28"/>
    <x v="0"/>
    <x v="3"/>
    <x v="0"/>
    <x v="364"/>
    <x v="383"/>
    <x v="100"/>
    <x v="319"/>
    <x v="1"/>
    <x v="0"/>
    <x v="1"/>
    <x v="1"/>
    <x v="119"/>
    <x v="1"/>
    <x v="1"/>
    <x v="1"/>
    <x v="0"/>
    <x v="1"/>
    <x v="1"/>
    <x v="1"/>
    <x v="0"/>
    <x v="0"/>
  </r>
  <r>
    <x v="651"/>
    <x v="2"/>
    <x v="70"/>
    <x v="0"/>
    <x v="0"/>
    <x v="1"/>
    <x v="121"/>
    <x v="388"/>
    <x v="78"/>
    <x v="78"/>
    <x v="1"/>
    <x v="0"/>
    <x v="1"/>
    <x v="1"/>
    <x v="188"/>
    <x v="2"/>
    <x v="2"/>
    <x v="0"/>
    <x v="0"/>
    <x v="1"/>
    <x v="1"/>
    <x v="0"/>
    <x v="1"/>
    <x v="1"/>
  </r>
  <r>
    <x v="652"/>
    <x v="29"/>
    <x v="23"/>
    <x v="0"/>
    <x v="5"/>
    <x v="0"/>
    <x v="365"/>
    <x v="342"/>
    <x v="114"/>
    <x v="982"/>
    <x v="0"/>
    <x v="1"/>
    <x v="0"/>
    <x v="0"/>
    <x v="184"/>
    <x v="1"/>
    <x v="1"/>
    <x v="0"/>
    <x v="1"/>
    <x v="0"/>
    <x v="0"/>
    <x v="0"/>
    <x v="0"/>
    <x v="0"/>
  </r>
  <r>
    <x v="653"/>
    <x v="9"/>
    <x v="15"/>
    <x v="0"/>
    <x v="3"/>
    <x v="1"/>
    <x v="223"/>
    <x v="509"/>
    <x v="234"/>
    <x v="246"/>
    <x v="0"/>
    <x v="1"/>
    <x v="1"/>
    <x v="1"/>
    <x v="99"/>
    <x v="2"/>
    <x v="1"/>
    <x v="0"/>
    <x v="1"/>
    <x v="1"/>
    <x v="0"/>
    <x v="0"/>
    <x v="1"/>
    <x v="0"/>
  </r>
  <r>
    <x v="654"/>
    <x v="49"/>
    <x v="8"/>
    <x v="1"/>
    <x v="0"/>
    <x v="0"/>
    <x v="182"/>
    <x v="707"/>
    <x v="202"/>
    <x v="775"/>
    <x v="0"/>
    <x v="1"/>
    <x v="0"/>
    <x v="0"/>
    <x v="177"/>
    <x v="1"/>
    <x v="0"/>
    <x v="0"/>
    <x v="1"/>
    <x v="0"/>
    <x v="0"/>
    <x v="0"/>
    <x v="0"/>
    <x v="0"/>
  </r>
  <r>
    <x v="655"/>
    <x v="16"/>
    <x v="14"/>
    <x v="2"/>
    <x v="3"/>
    <x v="0"/>
    <x v="136"/>
    <x v="48"/>
    <x v="104"/>
    <x v="539"/>
    <x v="0"/>
    <x v="1"/>
    <x v="0"/>
    <x v="0"/>
    <x v="283"/>
    <x v="2"/>
    <x v="0"/>
    <x v="1"/>
    <x v="1"/>
    <x v="0"/>
    <x v="0"/>
    <x v="1"/>
    <x v="0"/>
    <x v="0"/>
  </r>
  <r>
    <x v="656"/>
    <x v="42"/>
    <x v="9"/>
    <x v="0"/>
    <x v="0"/>
    <x v="0"/>
    <x v="154"/>
    <x v="565"/>
    <x v="32"/>
    <x v="267"/>
    <x v="1"/>
    <x v="0"/>
    <x v="0"/>
    <x v="0"/>
    <x v="16"/>
    <x v="2"/>
    <x v="0"/>
    <x v="0"/>
    <x v="1"/>
    <x v="0"/>
    <x v="1"/>
    <x v="0"/>
    <x v="0"/>
    <x v="0"/>
  </r>
  <r>
    <x v="657"/>
    <x v="15"/>
    <x v="41"/>
    <x v="1"/>
    <x v="3"/>
    <x v="0"/>
    <x v="435"/>
    <x v="666"/>
    <x v="209"/>
    <x v="856"/>
    <x v="0"/>
    <x v="1"/>
    <x v="0"/>
    <x v="0"/>
    <x v="186"/>
    <x v="0"/>
    <x v="2"/>
    <x v="0"/>
    <x v="0"/>
    <x v="0"/>
    <x v="0"/>
    <x v="0"/>
    <x v="0"/>
    <x v="0"/>
  </r>
  <r>
    <x v="658"/>
    <x v="7"/>
    <x v="30"/>
    <x v="2"/>
    <x v="1"/>
    <x v="0"/>
    <x v="269"/>
    <x v="383"/>
    <x v="112"/>
    <x v="450"/>
    <x v="0"/>
    <x v="1"/>
    <x v="1"/>
    <x v="2"/>
    <x v="80"/>
    <x v="1"/>
    <x v="0"/>
    <x v="0"/>
    <x v="0"/>
    <x v="1"/>
    <x v="0"/>
    <x v="1"/>
    <x v="0"/>
    <x v="0"/>
  </r>
  <r>
    <x v="659"/>
    <x v="31"/>
    <x v="35"/>
    <x v="0"/>
    <x v="3"/>
    <x v="0"/>
    <x v="253"/>
    <x v="353"/>
    <x v="0"/>
    <x v="174"/>
    <x v="1"/>
    <x v="0"/>
    <x v="1"/>
    <x v="3"/>
    <x v="73"/>
    <x v="0"/>
    <x v="1"/>
    <x v="0"/>
    <x v="0"/>
    <x v="1"/>
    <x v="1"/>
    <x v="0"/>
    <x v="0"/>
    <x v="0"/>
  </r>
  <r>
    <x v="660"/>
    <x v="10"/>
    <x v="59"/>
    <x v="0"/>
    <x v="3"/>
    <x v="0"/>
    <x v="192"/>
    <x v="521"/>
    <x v="165"/>
    <x v="258"/>
    <x v="0"/>
    <x v="1"/>
    <x v="1"/>
    <x v="1"/>
    <x v="218"/>
    <x v="1"/>
    <x v="0"/>
    <x v="0"/>
    <x v="0"/>
    <x v="1"/>
    <x v="0"/>
    <x v="0"/>
    <x v="0"/>
    <x v="0"/>
  </r>
  <r>
    <x v="661"/>
    <x v="23"/>
    <x v="41"/>
    <x v="2"/>
    <x v="0"/>
    <x v="1"/>
    <x v="463"/>
    <x v="502"/>
    <x v="187"/>
    <x v="675"/>
    <x v="1"/>
    <x v="0"/>
    <x v="2"/>
    <x v="2"/>
    <x v="128"/>
    <x v="1"/>
    <x v="1"/>
    <x v="0"/>
    <x v="0"/>
    <x v="1"/>
    <x v="1"/>
    <x v="0"/>
    <x v="1"/>
    <x v="1"/>
  </r>
  <r>
    <x v="662"/>
    <x v="17"/>
    <x v="11"/>
    <x v="1"/>
    <x v="2"/>
    <x v="0"/>
    <x v="400"/>
    <x v="570"/>
    <x v="0"/>
    <x v="843"/>
    <x v="0"/>
    <x v="1"/>
    <x v="0"/>
    <x v="1"/>
    <x v="57"/>
    <x v="5"/>
    <x v="0"/>
    <x v="1"/>
    <x v="1"/>
    <x v="0"/>
    <x v="0"/>
    <x v="0"/>
    <x v="0"/>
    <x v="0"/>
  </r>
  <r>
    <x v="663"/>
    <x v="51"/>
    <x v="27"/>
    <x v="0"/>
    <x v="2"/>
    <x v="1"/>
    <x v="134"/>
    <x v="563"/>
    <x v="57"/>
    <x v="64"/>
    <x v="1"/>
    <x v="0"/>
    <x v="0"/>
    <x v="0"/>
    <x v="184"/>
    <x v="0"/>
    <x v="0"/>
    <x v="0"/>
    <x v="0"/>
    <x v="0"/>
    <x v="1"/>
    <x v="0"/>
    <x v="1"/>
    <x v="0"/>
  </r>
  <r>
    <x v="664"/>
    <x v="29"/>
    <x v="22"/>
    <x v="1"/>
    <x v="3"/>
    <x v="0"/>
    <x v="190"/>
    <x v="115"/>
    <x v="107"/>
    <x v="852"/>
    <x v="2"/>
    <x v="0"/>
    <x v="1"/>
    <x v="3"/>
    <x v="286"/>
    <x v="2"/>
    <x v="0"/>
    <x v="0"/>
    <x v="1"/>
    <x v="1"/>
    <x v="1"/>
    <x v="0"/>
    <x v="0"/>
    <x v="0"/>
  </r>
  <r>
    <x v="665"/>
    <x v="41"/>
    <x v="59"/>
    <x v="1"/>
    <x v="5"/>
    <x v="0"/>
    <x v="199"/>
    <x v="660"/>
    <x v="166"/>
    <x v="846"/>
    <x v="0"/>
    <x v="1"/>
    <x v="1"/>
    <x v="1"/>
    <x v="0"/>
    <x v="4"/>
    <x v="1"/>
    <x v="0"/>
    <x v="0"/>
    <x v="1"/>
    <x v="0"/>
    <x v="0"/>
    <x v="0"/>
    <x v="0"/>
  </r>
  <r>
    <x v="666"/>
    <x v="34"/>
    <x v="22"/>
    <x v="1"/>
    <x v="5"/>
    <x v="1"/>
    <x v="249"/>
    <x v="694"/>
    <x v="79"/>
    <x v="868"/>
    <x v="0"/>
    <x v="1"/>
    <x v="1"/>
    <x v="1"/>
    <x v="29"/>
    <x v="2"/>
    <x v="1"/>
    <x v="1"/>
    <x v="1"/>
    <x v="1"/>
    <x v="0"/>
    <x v="0"/>
    <x v="1"/>
    <x v="1"/>
  </r>
  <r>
    <x v="667"/>
    <x v="52"/>
    <x v="9"/>
    <x v="0"/>
    <x v="0"/>
    <x v="0"/>
    <x v="137"/>
    <x v="465"/>
    <x v="57"/>
    <x v="266"/>
    <x v="0"/>
    <x v="1"/>
    <x v="0"/>
    <x v="1"/>
    <x v="254"/>
    <x v="0"/>
    <x v="2"/>
    <x v="1"/>
    <x v="1"/>
    <x v="0"/>
    <x v="0"/>
    <x v="0"/>
    <x v="0"/>
    <x v="0"/>
  </r>
  <r>
    <x v="668"/>
    <x v="25"/>
    <x v="52"/>
    <x v="0"/>
    <x v="3"/>
    <x v="1"/>
    <x v="288"/>
    <x v="19"/>
    <x v="166"/>
    <x v="205"/>
    <x v="0"/>
    <x v="1"/>
    <x v="0"/>
    <x v="0"/>
    <x v="157"/>
    <x v="2"/>
    <x v="4"/>
    <x v="0"/>
    <x v="0"/>
    <x v="0"/>
    <x v="0"/>
    <x v="1"/>
    <x v="1"/>
    <x v="1"/>
  </r>
  <r>
    <x v="669"/>
    <x v="50"/>
    <x v="30"/>
    <x v="1"/>
    <x v="3"/>
    <x v="1"/>
    <x v="412"/>
    <x v="360"/>
    <x v="82"/>
    <x v="920"/>
    <x v="0"/>
    <x v="1"/>
    <x v="0"/>
    <x v="0"/>
    <x v="333"/>
    <x v="0"/>
    <x v="0"/>
    <x v="0"/>
    <x v="0"/>
    <x v="0"/>
    <x v="0"/>
    <x v="0"/>
    <x v="1"/>
    <x v="1"/>
  </r>
  <r>
    <x v="670"/>
    <x v="52"/>
    <x v="6"/>
    <x v="0"/>
    <x v="2"/>
    <x v="0"/>
    <x v="67"/>
    <x v="467"/>
    <x v="153"/>
    <x v="77"/>
    <x v="0"/>
    <x v="1"/>
    <x v="1"/>
    <x v="2"/>
    <x v="256"/>
    <x v="0"/>
    <x v="2"/>
    <x v="0"/>
    <x v="1"/>
    <x v="1"/>
    <x v="0"/>
    <x v="0"/>
    <x v="0"/>
    <x v="0"/>
  </r>
  <r>
    <x v="671"/>
    <x v="53"/>
    <x v="49"/>
    <x v="2"/>
    <x v="1"/>
    <x v="1"/>
    <x v="84"/>
    <x v="77"/>
    <x v="39"/>
    <x v="652"/>
    <x v="1"/>
    <x v="0"/>
    <x v="1"/>
    <x v="2"/>
    <x v="223"/>
    <x v="0"/>
    <x v="0"/>
    <x v="2"/>
    <x v="0"/>
    <x v="1"/>
    <x v="1"/>
    <x v="0"/>
    <x v="1"/>
    <x v="1"/>
  </r>
  <r>
    <x v="672"/>
    <x v="40"/>
    <x v="15"/>
    <x v="1"/>
    <x v="0"/>
    <x v="1"/>
    <x v="166"/>
    <x v="276"/>
    <x v="23"/>
    <x v="789"/>
    <x v="2"/>
    <x v="0"/>
    <x v="0"/>
    <x v="0"/>
    <x v="75"/>
    <x v="3"/>
    <x v="0"/>
    <x v="0"/>
    <x v="1"/>
    <x v="0"/>
    <x v="1"/>
    <x v="0"/>
    <x v="1"/>
    <x v="1"/>
  </r>
  <r>
    <x v="673"/>
    <x v="56"/>
    <x v="62"/>
    <x v="0"/>
    <x v="5"/>
    <x v="0"/>
    <x v="170"/>
    <x v="30"/>
    <x v="168"/>
    <x v="33"/>
    <x v="1"/>
    <x v="0"/>
    <x v="0"/>
    <x v="3"/>
    <x v="243"/>
    <x v="1"/>
    <x v="1"/>
    <x v="0"/>
    <x v="0"/>
    <x v="0"/>
    <x v="1"/>
    <x v="1"/>
    <x v="0"/>
    <x v="0"/>
  </r>
  <r>
    <x v="674"/>
    <x v="43"/>
    <x v="59"/>
    <x v="1"/>
    <x v="1"/>
    <x v="1"/>
    <x v="451"/>
    <x v="579"/>
    <x v="133"/>
    <x v="880"/>
    <x v="0"/>
    <x v="1"/>
    <x v="0"/>
    <x v="0"/>
    <x v="184"/>
    <x v="4"/>
    <x v="0"/>
    <x v="1"/>
    <x v="0"/>
    <x v="0"/>
    <x v="0"/>
    <x v="0"/>
    <x v="1"/>
    <x v="1"/>
  </r>
  <r>
    <x v="675"/>
    <x v="18"/>
    <x v="26"/>
    <x v="1"/>
    <x v="3"/>
    <x v="0"/>
    <x v="365"/>
    <x v="460"/>
    <x v="180"/>
    <x v="734"/>
    <x v="0"/>
    <x v="1"/>
    <x v="0"/>
    <x v="0"/>
    <x v="320"/>
    <x v="0"/>
    <x v="0"/>
    <x v="0"/>
    <x v="0"/>
    <x v="0"/>
    <x v="0"/>
    <x v="0"/>
    <x v="0"/>
    <x v="0"/>
  </r>
  <r>
    <x v="676"/>
    <x v="9"/>
    <x v="40"/>
    <x v="2"/>
    <x v="0"/>
    <x v="0"/>
    <x v="357"/>
    <x v="8"/>
    <x v="78"/>
    <x v="390"/>
    <x v="1"/>
    <x v="0"/>
    <x v="0"/>
    <x v="0"/>
    <x v="236"/>
    <x v="1"/>
    <x v="0"/>
    <x v="0"/>
    <x v="0"/>
    <x v="0"/>
    <x v="1"/>
    <x v="1"/>
    <x v="0"/>
    <x v="0"/>
  </r>
  <r>
    <x v="677"/>
    <x v="12"/>
    <x v="40"/>
    <x v="2"/>
    <x v="1"/>
    <x v="0"/>
    <x v="191"/>
    <x v="505"/>
    <x v="59"/>
    <x v="575"/>
    <x v="2"/>
    <x v="0"/>
    <x v="0"/>
    <x v="0"/>
    <x v="94"/>
    <x v="1"/>
    <x v="1"/>
    <x v="0"/>
    <x v="0"/>
    <x v="0"/>
    <x v="1"/>
    <x v="0"/>
    <x v="0"/>
    <x v="0"/>
  </r>
  <r>
    <x v="678"/>
    <x v="33"/>
    <x v="47"/>
    <x v="1"/>
    <x v="2"/>
    <x v="0"/>
    <x v="188"/>
    <x v="383"/>
    <x v="210"/>
    <x v="814"/>
    <x v="0"/>
    <x v="1"/>
    <x v="0"/>
    <x v="2"/>
    <x v="275"/>
    <x v="1"/>
    <x v="0"/>
    <x v="0"/>
    <x v="0"/>
    <x v="0"/>
    <x v="0"/>
    <x v="1"/>
    <x v="0"/>
    <x v="0"/>
  </r>
  <r>
    <x v="679"/>
    <x v="9"/>
    <x v="4"/>
    <x v="2"/>
    <x v="3"/>
    <x v="0"/>
    <x v="52"/>
    <x v="547"/>
    <x v="11"/>
    <x v="495"/>
    <x v="1"/>
    <x v="0"/>
    <x v="1"/>
    <x v="1"/>
    <x v="365"/>
    <x v="0"/>
    <x v="0"/>
    <x v="0"/>
    <x v="2"/>
    <x v="1"/>
    <x v="1"/>
    <x v="0"/>
    <x v="0"/>
    <x v="0"/>
  </r>
  <r>
    <x v="680"/>
    <x v="13"/>
    <x v="23"/>
    <x v="2"/>
    <x v="2"/>
    <x v="0"/>
    <x v="336"/>
    <x v="265"/>
    <x v="203"/>
    <x v="658"/>
    <x v="0"/>
    <x v="1"/>
    <x v="1"/>
    <x v="2"/>
    <x v="165"/>
    <x v="2"/>
    <x v="1"/>
    <x v="1"/>
    <x v="1"/>
    <x v="1"/>
    <x v="0"/>
    <x v="0"/>
    <x v="0"/>
    <x v="0"/>
  </r>
  <r>
    <x v="681"/>
    <x v="36"/>
    <x v="12"/>
    <x v="1"/>
    <x v="3"/>
    <x v="0"/>
    <x v="296"/>
    <x v="146"/>
    <x v="207"/>
    <x v="962"/>
    <x v="1"/>
    <x v="0"/>
    <x v="0"/>
    <x v="0"/>
    <x v="249"/>
    <x v="1"/>
    <x v="0"/>
    <x v="1"/>
    <x v="1"/>
    <x v="0"/>
    <x v="1"/>
    <x v="0"/>
    <x v="0"/>
    <x v="0"/>
  </r>
  <r>
    <x v="682"/>
    <x v="19"/>
    <x v="50"/>
    <x v="2"/>
    <x v="2"/>
    <x v="0"/>
    <x v="398"/>
    <x v="383"/>
    <x v="175"/>
    <x v="471"/>
    <x v="0"/>
    <x v="1"/>
    <x v="0"/>
    <x v="0"/>
    <x v="140"/>
    <x v="0"/>
    <x v="0"/>
    <x v="0"/>
    <x v="0"/>
    <x v="0"/>
    <x v="0"/>
    <x v="1"/>
    <x v="0"/>
    <x v="0"/>
  </r>
  <r>
    <x v="683"/>
    <x v="39"/>
    <x v="4"/>
    <x v="0"/>
    <x v="1"/>
    <x v="1"/>
    <x v="199"/>
    <x v="383"/>
    <x v="67"/>
    <x v="215"/>
    <x v="1"/>
    <x v="0"/>
    <x v="1"/>
    <x v="1"/>
    <x v="197"/>
    <x v="0"/>
    <x v="2"/>
    <x v="0"/>
    <x v="2"/>
    <x v="1"/>
    <x v="1"/>
    <x v="1"/>
    <x v="1"/>
    <x v="1"/>
  </r>
  <r>
    <x v="684"/>
    <x v="57"/>
    <x v="37"/>
    <x v="0"/>
    <x v="5"/>
    <x v="1"/>
    <x v="210"/>
    <x v="410"/>
    <x v="58"/>
    <x v="250"/>
    <x v="1"/>
    <x v="0"/>
    <x v="0"/>
    <x v="0"/>
    <x v="27"/>
    <x v="1"/>
    <x v="0"/>
    <x v="0"/>
    <x v="0"/>
    <x v="0"/>
    <x v="1"/>
    <x v="0"/>
    <x v="1"/>
    <x v="1"/>
  </r>
  <r>
    <x v="685"/>
    <x v="5"/>
    <x v="52"/>
    <x v="0"/>
    <x v="3"/>
    <x v="0"/>
    <x v="253"/>
    <x v="455"/>
    <x v="100"/>
    <x v="76"/>
    <x v="1"/>
    <x v="0"/>
    <x v="0"/>
    <x v="0"/>
    <x v="187"/>
    <x v="0"/>
    <x v="2"/>
    <x v="0"/>
    <x v="0"/>
    <x v="0"/>
    <x v="1"/>
    <x v="0"/>
    <x v="0"/>
    <x v="0"/>
  </r>
  <r>
    <x v="686"/>
    <x v="37"/>
    <x v="68"/>
    <x v="2"/>
    <x v="3"/>
    <x v="1"/>
    <x v="350"/>
    <x v="334"/>
    <x v="26"/>
    <x v="573"/>
    <x v="0"/>
    <x v="1"/>
    <x v="0"/>
    <x v="0"/>
    <x v="192"/>
    <x v="2"/>
    <x v="3"/>
    <x v="0"/>
    <x v="0"/>
    <x v="0"/>
    <x v="0"/>
    <x v="0"/>
    <x v="1"/>
    <x v="1"/>
  </r>
  <r>
    <x v="687"/>
    <x v="47"/>
    <x v="20"/>
    <x v="2"/>
    <x v="0"/>
    <x v="0"/>
    <x v="50"/>
    <x v="252"/>
    <x v="50"/>
    <x v="499"/>
    <x v="0"/>
    <x v="1"/>
    <x v="0"/>
    <x v="0"/>
    <x v="347"/>
    <x v="0"/>
    <x v="0"/>
    <x v="0"/>
    <x v="1"/>
    <x v="0"/>
    <x v="0"/>
    <x v="0"/>
    <x v="0"/>
    <x v="0"/>
  </r>
  <r>
    <x v="688"/>
    <x v="8"/>
    <x v="0"/>
    <x v="2"/>
    <x v="5"/>
    <x v="1"/>
    <x v="331"/>
    <x v="279"/>
    <x v="160"/>
    <x v="380"/>
    <x v="0"/>
    <x v="1"/>
    <x v="1"/>
    <x v="1"/>
    <x v="7"/>
    <x v="1"/>
    <x v="0"/>
    <x v="0"/>
    <x v="2"/>
    <x v="1"/>
    <x v="0"/>
    <x v="0"/>
    <x v="1"/>
    <x v="0"/>
  </r>
  <r>
    <x v="689"/>
    <x v="45"/>
    <x v="52"/>
    <x v="2"/>
    <x v="1"/>
    <x v="0"/>
    <x v="226"/>
    <x v="807"/>
    <x v="160"/>
    <x v="422"/>
    <x v="0"/>
    <x v="1"/>
    <x v="0"/>
    <x v="0"/>
    <x v="157"/>
    <x v="0"/>
    <x v="0"/>
    <x v="1"/>
    <x v="0"/>
    <x v="0"/>
    <x v="0"/>
    <x v="0"/>
    <x v="0"/>
    <x v="0"/>
  </r>
  <r>
    <x v="690"/>
    <x v="29"/>
    <x v="0"/>
    <x v="1"/>
    <x v="3"/>
    <x v="1"/>
    <x v="93"/>
    <x v="155"/>
    <x v="44"/>
    <x v="908"/>
    <x v="2"/>
    <x v="0"/>
    <x v="0"/>
    <x v="0"/>
    <x v="318"/>
    <x v="1"/>
    <x v="1"/>
    <x v="0"/>
    <x v="2"/>
    <x v="0"/>
    <x v="1"/>
    <x v="0"/>
    <x v="1"/>
    <x v="1"/>
  </r>
  <r>
    <x v="691"/>
    <x v="36"/>
    <x v="4"/>
    <x v="1"/>
    <x v="0"/>
    <x v="1"/>
    <x v="11"/>
    <x v="213"/>
    <x v="162"/>
    <x v="911"/>
    <x v="1"/>
    <x v="0"/>
    <x v="0"/>
    <x v="0"/>
    <x v="162"/>
    <x v="2"/>
    <x v="0"/>
    <x v="0"/>
    <x v="2"/>
    <x v="0"/>
    <x v="1"/>
    <x v="0"/>
    <x v="1"/>
    <x v="1"/>
  </r>
  <r>
    <x v="692"/>
    <x v="2"/>
    <x v="71"/>
    <x v="0"/>
    <x v="3"/>
    <x v="0"/>
    <x v="211"/>
    <x v="812"/>
    <x v="147"/>
    <x v="237"/>
    <x v="1"/>
    <x v="0"/>
    <x v="0"/>
    <x v="2"/>
    <x v="170"/>
    <x v="1"/>
    <x v="1"/>
    <x v="0"/>
    <x v="0"/>
    <x v="0"/>
    <x v="1"/>
    <x v="0"/>
    <x v="0"/>
    <x v="0"/>
  </r>
  <r>
    <x v="693"/>
    <x v="25"/>
    <x v="62"/>
    <x v="2"/>
    <x v="3"/>
    <x v="0"/>
    <x v="411"/>
    <x v="523"/>
    <x v="220"/>
    <x v="563"/>
    <x v="0"/>
    <x v="1"/>
    <x v="0"/>
    <x v="0"/>
    <x v="93"/>
    <x v="2"/>
    <x v="1"/>
    <x v="1"/>
    <x v="0"/>
    <x v="0"/>
    <x v="0"/>
    <x v="0"/>
    <x v="0"/>
    <x v="0"/>
  </r>
  <r>
    <x v="694"/>
    <x v="21"/>
    <x v="50"/>
    <x v="2"/>
    <x v="0"/>
    <x v="0"/>
    <x v="430"/>
    <x v="37"/>
    <x v="155"/>
    <x v="486"/>
    <x v="1"/>
    <x v="0"/>
    <x v="0"/>
    <x v="0"/>
    <x v="81"/>
    <x v="0"/>
    <x v="0"/>
    <x v="2"/>
    <x v="0"/>
    <x v="0"/>
    <x v="1"/>
    <x v="1"/>
    <x v="0"/>
    <x v="0"/>
  </r>
  <r>
    <x v="695"/>
    <x v="8"/>
    <x v="60"/>
    <x v="2"/>
    <x v="1"/>
    <x v="0"/>
    <x v="275"/>
    <x v="635"/>
    <x v="189"/>
    <x v="830"/>
    <x v="0"/>
    <x v="1"/>
    <x v="0"/>
    <x v="0"/>
    <x v="6"/>
    <x v="0"/>
    <x v="0"/>
    <x v="0"/>
    <x v="0"/>
    <x v="0"/>
    <x v="0"/>
    <x v="0"/>
    <x v="0"/>
    <x v="0"/>
  </r>
  <r>
    <x v="696"/>
    <x v="44"/>
    <x v="5"/>
    <x v="0"/>
    <x v="5"/>
    <x v="1"/>
    <x v="448"/>
    <x v="128"/>
    <x v="148"/>
    <x v="138"/>
    <x v="1"/>
    <x v="0"/>
    <x v="1"/>
    <x v="3"/>
    <x v="117"/>
    <x v="3"/>
    <x v="0"/>
    <x v="1"/>
    <x v="2"/>
    <x v="1"/>
    <x v="1"/>
    <x v="0"/>
    <x v="1"/>
    <x v="1"/>
  </r>
  <r>
    <x v="697"/>
    <x v="29"/>
    <x v="6"/>
    <x v="1"/>
    <x v="1"/>
    <x v="1"/>
    <x v="224"/>
    <x v="647"/>
    <x v="184"/>
    <x v="953"/>
    <x v="1"/>
    <x v="0"/>
    <x v="0"/>
    <x v="0"/>
    <x v="76"/>
    <x v="2"/>
    <x v="0"/>
    <x v="0"/>
    <x v="1"/>
    <x v="0"/>
    <x v="1"/>
    <x v="0"/>
    <x v="1"/>
    <x v="1"/>
  </r>
  <r>
    <x v="698"/>
    <x v="50"/>
    <x v="21"/>
    <x v="1"/>
    <x v="5"/>
    <x v="1"/>
    <x v="358"/>
    <x v="327"/>
    <x v="27"/>
    <x v="701"/>
    <x v="4"/>
    <x v="0"/>
    <x v="0"/>
    <x v="0"/>
    <x v="184"/>
    <x v="3"/>
    <x v="0"/>
    <x v="0"/>
    <x v="1"/>
    <x v="0"/>
    <x v="1"/>
    <x v="0"/>
    <x v="1"/>
    <x v="0"/>
  </r>
  <r>
    <x v="699"/>
    <x v="9"/>
    <x v="1"/>
    <x v="2"/>
    <x v="3"/>
    <x v="0"/>
    <x v="169"/>
    <x v="245"/>
    <x v="106"/>
    <x v="335"/>
    <x v="0"/>
    <x v="1"/>
    <x v="2"/>
    <x v="2"/>
    <x v="98"/>
    <x v="2"/>
    <x v="1"/>
    <x v="0"/>
    <x v="2"/>
    <x v="1"/>
    <x v="0"/>
    <x v="0"/>
    <x v="0"/>
    <x v="0"/>
  </r>
  <r>
    <x v="700"/>
    <x v="42"/>
    <x v="63"/>
    <x v="1"/>
    <x v="3"/>
    <x v="0"/>
    <x v="161"/>
    <x v="761"/>
    <x v="112"/>
    <x v="967"/>
    <x v="2"/>
    <x v="0"/>
    <x v="0"/>
    <x v="0"/>
    <x v="184"/>
    <x v="1"/>
    <x v="0"/>
    <x v="1"/>
    <x v="0"/>
    <x v="0"/>
    <x v="1"/>
    <x v="0"/>
    <x v="0"/>
    <x v="0"/>
  </r>
  <r>
    <x v="701"/>
    <x v="35"/>
    <x v="4"/>
    <x v="1"/>
    <x v="3"/>
    <x v="1"/>
    <x v="140"/>
    <x v="564"/>
    <x v="98"/>
    <x v="786"/>
    <x v="0"/>
    <x v="1"/>
    <x v="1"/>
    <x v="2"/>
    <x v="138"/>
    <x v="1"/>
    <x v="0"/>
    <x v="0"/>
    <x v="2"/>
    <x v="1"/>
    <x v="0"/>
    <x v="0"/>
    <x v="1"/>
    <x v="1"/>
  </r>
  <r>
    <x v="702"/>
    <x v="37"/>
    <x v="39"/>
    <x v="2"/>
    <x v="2"/>
    <x v="1"/>
    <x v="12"/>
    <x v="658"/>
    <x v="146"/>
    <x v="489"/>
    <x v="0"/>
    <x v="1"/>
    <x v="0"/>
    <x v="1"/>
    <x v="182"/>
    <x v="2"/>
    <x v="0"/>
    <x v="0"/>
    <x v="0"/>
    <x v="0"/>
    <x v="0"/>
    <x v="0"/>
    <x v="1"/>
    <x v="0"/>
  </r>
  <r>
    <x v="703"/>
    <x v="17"/>
    <x v="61"/>
    <x v="2"/>
    <x v="0"/>
    <x v="0"/>
    <x v="398"/>
    <x v="526"/>
    <x v="159"/>
    <x v="340"/>
    <x v="0"/>
    <x v="1"/>
    <x v="1"/>
    <x v="1"/>
    <x v="129"/>
    <x v="0"/>
    <x v="0"/>
    <x v="2"/>
    <x v="0"/>
    <x v="1"/>
    <x v="0"/>
    <x v="0"/>
    <x v="0"/>
    <x v="0"/>
  </r>
  <r>
    <x v="704"/>
    <x v="40"/>
    <x v="52"/>
    <x v="2"/>
    <x v="3"/>
    <x v="0"/>
    <x v="143"/>
    <x v="243"/>
    <x v="142"/>
    <x v="441"/>
    <x v="1"/>
    <x v="0"/>
    <x v="3"/>
    <x v="5"/>
    <x v="72"/>
    <x v="1"/>
    <x v="0"/>
    <x v="0"/>
    <x v="0"/>
    <x v="1"/>
    <x v="1"/>
    <x v="0"/>
    <x v="0"/>
    <x v="0"/>
  </r>
  <r>
    <x v="705"/>
    <x v="14"/>
    <x v="16"/>
    <x v="1"/>
    <x v="1"/>
    <x v="0"/>
    <x v="126"/>
    <x v="581"/>
    <x v="103"/>
    <x v="859"/>
    <x v="0"/>
    <x v="1"/>
    <x v="1"/>
    <x v="3"/>
    <x v="197"/>
    <x v="1"/>
    <x v="1"/>
    <x v="0"/>
    <x v="1"/>
    <x v="1"/>
    <x v="0"/>
    <x v="0"/>
    <x v="0"/>
    <x v="0"/>
  </r>
  <r>
    <x v="706"/>
    <x v="44"/>
    <x v="33"/>
    <x v="0"/>
    <x v="5"/>
    <x v="0"/>
    <x v="78"/>
    <x v="702"/>
    <x v="63"/>
    <x v="221"/>
    <x v="0"/>
    <x v="1"/>
    <x v="4"/>
    <x v="4"/>
    <x v="298"/>
    <x v="2"/>
    <x v="2"/>
    <x v="0"/>
    <x v="0"/>
    <x v="1"/>
    <x v="0"/>
    <x v="0"/>
    <x v="0"/>
    <x v="0"/>
  </r>
  <r>
    <x v="707"/>
    <x v="25"/>
    <x v="39"/>
    <x v="2"/>
    <x v="5"/>
    <x v="0"/>
    <x v="200"/>
    <x v="449"/>
    <x v="192"/>
    <x v="402"/>
    <x v="0"/>
    <x v="1"/>
    <x v="0"/>
    <x v="0"/>
    <x v="202"/>
    <x v="2"/>
    <x v="0"/>
    <x v="0"/>
    <x v="0"/>
    <x v="0"/>
    <x v="0"/>
    <x v="0"/>
    <x v="0"/>
    <x v="0"/>
  </r>
  <r>
    <x v="708"/>
    <x v="27"/>
    <x v="55"/>
    <x v="1"/>
    <x v="3"/>
    <x v="0"/>
    <x v="438"/>
    <x v="783"/>
    <x v="139"/>
    <x v="928"/>
    <x v="1"/>
    <x v="0"/>
    <x v="1"/>
    <x v="3"/>
    <x v="120"/>
    <x v="0"/>
    <x v="0"/>
    <x v="0"/>
    <x v="0"/>
    <x v="1"/>
    <x v="1"/>
    <x v="0"/>
    <x v="0"/>
    <x v="0"/>
  </r>
  <r>
    <x v="709"/>
    <x v="33"/>
    <x v="30"/>
    <x v="0"/>
    <x v="1"/>
    <x v="0"/>
    <x v="456"/>
    <x v="638"/>
    <x v="46"/>
    <x v="68"/>
    <x v="0"/>
    <x v="1"/>
    <x v="0"/>
    <x v="0"/>
    <x v="174"/>
    <x v="1"/>
    <x v="1"/>
    <x v="1"/>
    <x v="0"/>
    <x v="0"/>
    <x v="0"/>
    <x v="0"/>
    <x v="0"/>
    <x v="0"/>
  </r>
  <r>
    <x v="710"/>
    <x v="4"/>
    <x v="20"/>
    <x v="1"/>
    <x v="0"/>
    <x v="1"/>
    <x v="36"/>
    <x v="479"/>
    <x v="101"/>
    <x v="800"/>
    <x v="0"/>
    <x v="1"/>
    <x v="0"/>
    <x v="0"/>
    <x v="0"/>
    <x v="3"/>
    <x v="0"/>
    <x v="0"/>
    <x v="1"/>
    <x v="0"/>
    <x v="0"/>
    <x v="0"/>
    <x v="1"/>
    <x v="1"/>
  </r>
  <r>
    <x v="711"/>
    <x v="21"/>
    <x v="57"/>
    <x v="2"/>
    <x v="5"/>
    <x v="0"/>
    <x v="179"/>
    <x v="489"/>
    <x v="0"/>
    <x v="683"/>
    <x v="2"/>
    <x v="0"/>
    <x v="1"/>
    <x v="2"/>
    <x v="172"/>
    <x v="0"/>
    <x v="1"/>
    <x v="0"/>
    <x v="0"/>
    <x v="1"/>
    <x v="1"/>
    <x v="0"/>
    <x v="0"/>
    <x v="0"/>
  </r>
  <r>
    <x v="712"/>
    <x v="11"/>
    <x v="63"/>
    <x v="1"/>
    <x v="5"/>
    <x v="1"/>
    <x v="96"/>
    <x v="451"/>
    <x v="117"/>
    <x v="803"/>
    <x v="0"/>
    <x v="1"/>
    <x v="0"/>
    <x v="0"/>
    <x v="144"/>
    <x v="2"/>
    <x v="0"/>
    <x v="0"/>
    <x v="0"/>
    <x v="0"/>
    <x v="0"/>
    <x v="0"/>
    <x v="1"/>
    <x v="1"/>
  </r>
  <r>
    <x v="713"/>
    <x v="55"/>
    <x v="35"/>
    <x v="1"/>
    <x v="0"/>
    <x v="0"/>
    <x v="363"/>
    <x v="57"/>
    <x v="101"/>
    <x v="639"/>
    <x v="0"/>
    <x v="1"/>
    <x v="0"/>
    <x v="0"/>
    <x v="81"/>
    <x v="2"/>
    <x v="1"/>
    <x v="0"/>
    <x v="0"/>
    <x v="0"/>
    <x v="0"/>
    <x v="0"/>
    <x v="0"/>
    <x v="0"/>
  </r>
  <r>
    <x v="714"/>
    <x v="24"/>
    <x v="2"/>
    <x v="0"/>
    <x v="5"/>
    <x v="0"/>
    <x v="267"/>
    <x v="372"/>
    <x v="75"/>
    <x v="159"/>
    <x v="0"/>
    <x v="1"/>
    <x v="0"/>
    <x v="1"/>
    <x v="103"/>
    <x v="0"/>
    <x v="0"/>
    <x v="0"/>
    <x v="2"/>
    <x v="0"/>
    <x v="0"/>
    <x v="0"/>
    <x v="0"/>
    <x v="0"/>
  </r>
  <r>
    <x v="715"/>
    <x v="0"/>
    <x v="36"/>
    <x v="1"/>
    <x v="2"/>
    <x v="0"/>
    <x v="144"/>
    <x v="482"/>
    <x v="224"/>
    <x v="727"/>
    <x v="1"/>
    <x v="0"/>
    <x v="0"/>
    <x v="0"/>
    <x v="143"/>
    <x v="0"/>
    <x v="0"/>
    <x v="0"/>
    <x v="0"/>
    <x v="0"/>
    <x v="1"/>
    <x v="0"/>
    <x v="0"/>
    <x v="0"/>
  </r>
  <r>
    <x v="716"/>
    <x v="1"/>
    <x v="64"/>
    <x v="0"/>
    <x v="1"/>
    <x v="1"/>
    <x v="239"/>
    <x v="256"/>
    <x v="36"/>
    <x v="242"/>
    <x v="0"/>
    <x v="1"/>
    <x v="0"/>
    <x v="0"/>
    <x v="293"/>
    <x v="3"/>
    <x v="0"/>
    <x v="0"/>
    <x v="0"/>
    <x v="0"/>
    <x v="0"/>
    <x v="0"/>
    <x v="1"/>
    <x v="1"/>
  </r>
  <r>
    <x v="717"/>
    <x v="52"/>
    <x v="71"/>
    <x v="2"/>
    <x v="2"/>
    <x v="0"/>
    <x v="166"/>
    <x v="500"/>
    <x v="164"/>
    <x v="361"/>
    <x v="0"/>
    <x v="1"/>
    <x v="1"/>
    <x v="1"/>
    <x v="301"/>
    <x v="2"/>
    <x v="2"/>
    <x v="2"/>
    <x v="0"/>
    <x v="1"/>
    <x v="0"/>
    <x v="0"/>
    <x v="0"/>
    <x v="0"/>
  </r>
  <r>
    <x v="718"/>
    <x v="9"/>
    <x v="28"/>
    <x v="2"/>
    <x v="5"/>
    <x v="0"/>
    <x v="424"/>
    <x v="412"/>
    <x v="248"/>
    <x v="467"/>
    <x v="0"/>
    <x v="1"/>
    <x v="0"/>
    <x v="0"/>
    <x v="82"/>
    <x v="1"/>
    <x v="0"/>
    <x v="0"/>
    <x v="0"/>
    <x v="0"/>
    <x v="0"/>
    <x v="0"/>
    <x v="0"/>
    <x v="0"/>
  </r>
  <r>
    <x v="719"/>
    <x v="0"/>
    <x v="10"/>
    <x v="1"/>
    <x v="0"/>
    <x v="0"/>
    <x v="304"/>
    <x v="623"/>
    <x v="190"/>
    <x v="791"/>
    <x v="0"/>
    <x v="1"/>
    <x v="0"/>
    <x v="0"/>
    <x v="130"/>
    <x v="2"/>
    <x v="0"/>
    <x v="0"/>
    <x v="1"/>
    <x v="0"/>
    <x v="0"/>
    <x v="0"/>
    <x v="0"/>
    <x v="0"/>
  </r>
  <r>
    <x v="720"/>
    <x v="12"/>
    <x v="41"/>
    <x v="0"/>
    <x v="1"/>
    <x v="0"/>
    <x v="321"/>
    <x v="597"/>
    <x v="113"/>
    <x v="54"/>
    <x v="0"/>
    <x v="1"/>
    <x v="1"/>
    <x v="2"/>
    <x v="133"/>
    <x v="1"/>
    <x v="1"/>
    <x v="2"/>
    <x v="0"/>
    <x v="1"/>
    <x v="0"/>
    <x v="0"/>
    <x v="0"/>
    <x v="0"/>
  </r>
  <r>
    <x v="721"/>
    <x v="12"/>
    <x v="59"/>
    <x v="0"/>
    <x v="3"/>
    <x v="0"/>
    <x v="0"/>
    <x v="461"/>
    <x v="38"/>
    <x v="84"/>
    <x v="0"/>
    <x v="1"/>
    <x v="0"/>
    <x v="0"/>
    <x v="275"/>
    <x v="0"/>
    <x v="0"/>
    <x v="0"/>
    <x v="0"/>
    <x v="0"/>
    <x v="0"/>
    <x v="0"/>
    <x v="0"/>
    <x v="0"/>
  </r>
  <r>
    <x v="722"/>
    <x v="4"/>
    <x v="68"/>
    <x v="2"/>
    <x v="2"/>
    <x v="0"/>
    <x v="220"/>
    <x v="41"/>
    <x v="23"/>
    <x v="493"/>
    <x v="0"/>
    <x v="1"/>
    <x v="0"/>
    <x v="0"/>
    <x v="204"/>
    <x v="0"/>
    <x v="2"/>
    <x v="0"/>
    <x v="0"/>
    <x v="0"/>
    <x v="0"/>
    <x v="1"/>
    <x v="0"/>
    <x v="0"/>
  </r>
  <r>
    <x v="723"/>
    <x v="57"/>
    <x v="3"/>
    <x v="2"/>
    <x v="0"/>
    <x v="0"/>
    <x v="455"/>
    <x v="782"/>
    <x v="86"/>
    <x v="601"/>
    <x v="0"/>
    <x v="1"/>
    <x v="1"/>
    <x v="1"/>
    <x v="198"/>
    <x v="1"/>
    <x v="1"/>
    <x v="0"/>
    <x v="2"/>
    <x v="1"/>
    <x v="0"/>
    <x v="0"/>
    <x v="0"/>
    <x v="0"/>
  </r>
  <r>
    <x v="724"/>
    <x v="3"/>
    <x v="20"/>
    <x v="2"/>
    <x v="2"/>
    <x v="0"/>
    <x v="402"/>
    <x v="351"/>
    <x v="67"/>
    <x v="661"/>
    <x v="1"/>
    <x v="0"/>
    <x v="2"/>
    <x v="2"/>
    <x v="247"/>
    <x v="0"/>
    <x v="2"/>
    <x v="0"/>
    <x v="1"/>
    <x v="1"/>
    <x v="1"/>
    <x v="0"/>
    <x v="0"/>
    <x v="0"/>
  </r>
  <r>
    <x v="725"/>
    <x v="42"/>
    <x v="34"/>
    <x v="0"/>
    <x v="2"/>
    <x v="0"/>
    <x v="23"/>
    <x v="375"/>
    <x v="65"/>
    <x v="253"/>
    <x v="0"/>
    <x v="1"/>
    <x v="1"/>
    <x v="1"/>
    <x v="121"/>
    <x v="1"/>
    <x v="0"/>
    <x v="0"/>
    <x v="0"/>
    <x v="1"/>
    <x v="0"/>
    <x v="0"/>
    <x v="0"/>
    <x v="0"/>
  </r>
  <r>
    <x v="726"/>
    <x v="48"/>
    <x v="7"/>
    <x v="0"/>
    <x v="3"/>
    <x v="0"/>
    <x v="184"/>
    <x v="383"/>
    <x v="92"/>
    <x v="290"/>
    <x v="0"/>
    <x v="1"/>
    <x v="0"/>
    <x v="0"/>
    <x v="324"/>
    <x v="0"/>
    <x v="0"/>
    <x v="1"/>
    <x v="1"/>
    <x v="0"/>
    <x v="0"/>
    <x v="1"/>
    <x v="0"/>
    <x v="0"/>
  </r>
  <r>
    <x v="727"/>
    <x v="37"/>
    <x v="63"/>
    <x v="1"/>
    <x v="2"/>
    <x v="1"/>
    <x v="76"/>
    <x v="226"/>
    <x v="108"/>
    <x v="768"/>
    <x v="2"/>
    <x v="0"/>
    <x v="0"/>
    <x v="0"/>
    <x v="187"/>
    <x v="0"/>
    <x v="3"/>
    <x v="0"/>
    <x v="0"/>
    <x v="0"/>
    <x v="1"/>
    <x v="0"/>
    <x v="1"/>
    <x v="1"/>
  </r>
  <r>
    <x v="728"/>
    <x v="7"/>
    <x v="8"/>
    <x v="0"/>
    <x v="1"/>
    <x v="0"/>
    <x v="433"/>
    <x v="755"/>
    <x v="149"/>
    <x v="264"/>
    <x v="0"/>
    <x v="1"/>
    <x v="0"/>
    <x v="1"/>
    <x v="90"/>
    <x v="0"/>
    <x v="1"/>
    <x v="0"/>
    <x v="1"/>
    <x v="0"/>
    <x v="0"/>
    <x v="0"/>
    <x v="0"/>
    <x v="0"/>
  </r>
  <r>
    <x v="729"/>
    <x v="42"/>
    <x v="47"/>
    <x v="2"/>
    <x v="1"/>
    <x v="0"/>
    <x v="263"/>
    <x v="730"/>
    <x v="30"/>
    <x v="427"/>
    <x v="1"/>
    <x v="0"/>
    <x v="0"/>
    <x v="0"/>
    <x v="163"/>
    <x v="2"/>
    <x v="0"/>
    <x v="1"/>
    <x v="0"/>
    <x v="0"/>
    <x v="1"/>
    <x v="0"/>
    <x v="0"/>
    <x v="0"/>
  </r>
  <r>
    <x v="730"/>
    <x v="19"/>
    <x v="66"/>
    <x v="1"/>
    <x v="3"/>
    <x v="0"/>
    <x v="128"/>
    <x v="528"/>
    <x v="67"/>
    <x v="980"/>
    <x v="2"/>
    <x v="0"/>
    <x v="0"/>
    <x v="0"/>
    <x v="184"/>
    <x v="1"/>
    <x v="1"/>
    <x v="0"/>
    <x v="0"/>
    <x v="0"/>
    <x v="1"/>
    <x v="0"/>
    <x v="0"/>
    <x v="0"/>
  </r>
  <r>
    <x v="731"/>
    <x v="23"/>
    <x v="49"/>
    <x v="0"/>
    <x v="2"/>
    <x v="0"/>
    <x v="233"/>
    <x v="364"/>
    <x v="104"/>
    <x v="194"/>
    <x v="0"/>
    <x v="1"/>
    <x v="1"/>
    <x v="2"/>
    <x v="141"/>
    <x v="0"/>
    <x v="1"/>
    <x v="1"/>
    <x v="0"/>
    <x v="1"/>
    <x v="0"/>
    <x v="0"/>
    <x v="0"/>
    <x v="0"/>
  </r>
  <r>
    <x v="732"/>
    <x v="14"/>
    <x v="54"/>
    <x v="2"/>
    <x v="2"/>
    <x v="0"/>
    <x v="0"/>
    <x v="584"/>
    <x v="101"/>
    <x v="316"/>
    <x v="0"/>
    <x v="1"/>
    <x v="1"/>
    <x v="2"/>
    <x v="288"/>
    <x v="1"/>
    <x v="0"/>
    <x v="0"/>
    <x v="0"/>
    <x v="1"/>
    <x v="0"/>
    <x v="0"/>
    <x v="0"/>
    <x v="0"/>
  </r>
  <r>
    <x v="733"/>
    <x v="45"/>
    <x v="18"/>
    <x v="0"/>
    <x v="3"/>
    <x v="0"/>
    <x v="90"/>
    <x v="430"/>
    <x v="236"/>
    <x v="217"/>
    <x v="0"/>
    <x v="1"/>
    <x v="0"/>
    <x v="0"/>
    <x v="118"/>
    <x v="1"/>
    <x v="0"/>
    <x v="0"/>
    <x v="1"/>
    <x v="0"/>
    <x v="0"/>
    <x v="0"/>
    <x v="0"/>
    <x v="0"/>
  </r>
  <r>
    <x v="734"/>
    <x v="33"/>
    <x v="59"/>
    <x v="1"/>
    <x v="2"/>
    <x v="1"/>
    <x v="233"/>
    <x v="335"/>
    <x v="131"/>
    <x v="797"/>
    <x v="1"/>
    <x v="0"/>
    <x v="0"/>
    <x v="1"/>
    <x v="101"/>
    <x v="0"/>
    <x v="0"/>
    <x v="0"/>
    <x v="0"/>
    <x v="0"/>
    <x v="1"/>
    <x v="0"/>
    <x v="1"/>
    <x v="0"/>
  </r>
  <r>
    <x v="735"/>
    <x v="8"/>
    <x v="30"/>
    <x v="2"/>
    <x v="5"/>
    <x v="1"/>
    <x v="345"/>
    <x v="500"/>
    <x v="7"/>
    <x v="530"/>
    <x v="2"/>
    <x v="0"/>
    <x v="1"/>
    <x v="2"/>
    <x v="260"/>
    <x v="3"/>
    <x v="1"/>
    <x v="1"/>
    <x v="0"/>
    <x v="1"/>
    <x v="1"/>
    <x v="0"/>
    <x v="1"/>
    <x v="1"/>
  </r>
  <r>
    <x v="736"/>
    <x v="23"/>
    <x v="4"/>
    <x v="1"/>
    <x v="3"/>
    <x v="1"/>
    <x v="18"/>
    <x v="244"/>
    <x v="144"/>
    <x v="860"/>
    <x v="0"/>
    <x v="1"/>
    <x v="1"/>
    <x v="1"/>
    <x v="88"/>
    <x v="2"/>
    <x v="0"/>
    <x v="0"/>
    <x v="2"/>
    <x v="1"/>
    <x v="0"/>
    <x v="0"/>
    <x v="1"/>
    <x v="1"/>
  </r>
  <r>
    <x v="737"/>
    <x v="46"/>
    <x v="26"/>
    <x v="0"/>
    <x v="3"/>
    <x v="0"/>
    <x v="177"/>
    <x v="383"/>
    <x v="153"/>
    <x v="243"/>
    <x v="0"/>
    <x v="1"/>
    <x v="0"/>
    <x v="0"/>
    <x v="277"/>
    <x v="2"/>
    <x v="0"/>
    <x v="0"/>
    <x v="0"/>
    <x v="0"/>
    <x v="0"/>
    <x v="1"/>
    <x v="0"/>
    <x v="0"/>
  </r>
  <r>
    <x v="738"/>
    <x v="54"/>
    <x v="25"/>
    <x v="2"/>
    <x v="3"/>
    <x v="0"/>
    <x v="366"/>
    <x v="473"/>
    <x v="106"/>
    <x v="511"/>
    <x v="1"/>
    <x v="0"/>
    <x v="1"/>
    <x v="2"/>
    <x v="228"/>
    <x v="1"/>
    <x v="2"/>
    <x v="2"/>
    <x v="0"/>
    <x v="1"/>
    <x v="1"/>
    <x v="0"/>
    <x v="0"/>
    <x v="0"/>
  </r>
  <r>
    <x v="739"/>
    <x v="54"/>
    <x v="37"/>
    <x v="1"/>
    <x v="3"/>
    <x v="0"/>
    <x v="52"/>
    <x v="577"/>
    <x v="32"/>
    <x v="885"/>
    <x v="0"/>
    <x v="1"/>
    <x v="0"/>
    <x v="1"/>
    <x v="88"/>
    <x v="1"/>
    <x v="0"/>
    <x v="0"/>
    <x v="0"/>
    <x v="0"/>
    <x v="0"/>
    <x v="0"/>
    <x v="0"/>
    <x v="0"/>
  </r>
  <r>
    <x v="740"/>
    <x v="7"/>
    <x v="19"/>
    <x v="0"/>
    <x v="2"/>
    <x v="1"/>
    <x v="260"/>
    <x v="192"/>
    <x v="233"/>
    <x v="47"/>
    <x v="0"/>
    <x v="1"/>
    <x v="0"/>
    <x v="0"/>
    <x v="179"/>
    <x v="0"/>
    <x v="1"/>
    <x v="0"/>
    <x v="1"/>
    <x v="0"/>
    <x v="0"/>
    <x v="0"/>
    <x v="1"/>
    <x v="1"/>
  </r>
  <r>
    <x v="741"/>
    <x v="49"/>
    <x v="33"/>
    <x v="0"/>
    <x v="2"/>
    <x v="1"/>
    <x v="238"/>
    <x v="608"/>
    <x v="42"/>
    <x v="71"/>
    <x v="1"/>
    <x v="0"/>
    <x v="0"/>
    <x v="0"/>
    <x v="127"/>
    <x v="2"/>
    <x v="0"/>
    <x v="1"/>
    <x v="0"/>
    <x v="0"/>
    <x v="1"/>
    <x v="0"/>
    <x v="1"/>
    <x v="1"/>
  </r>
  <r>
    <x v="742"/>
    <x v="32"/>
    <x v="30"/>
    <x v="0"/>
    <x v="0"/>
    <x v="1"/>
    <x v="433"/>
    <x v="129"/>
    <x v="161"/>
    <x v="119"/>
    <x v="0"/>
    <x v="1"/>
    <x v="0"/>
    <x v="0"/>
    <x v="228"/>
    <x v="6"/>
    <x v="0"/>
    <x v="0"/>
    <x v="0"/>
    <x v="0"/>
    <x v="0"/>
    <x v="0"/>
    <x v="1"/>
    <x v="1"/>
  </r>
  <r>
    <x v="743"/>
    <x v="42"/>
    <x v="23"/>
    <x v="1"/>
    <x v="2"/>
    <x v="0"/>
    <x v="196"/>
    <x v="206"/>
    <x v="129"/>
    <x v="758"/>
    <x v="1"/>
    <x v="0"/>
    <x v="0"/>
    <x v="0"/>
    <x v="353"/>
    <x v="1"/>
    <x v="2"/>
    <x v="0"/>
    <x v="1"/>
    <x v="0"/>
    <x v="1"/>
    <x v="0"/>
    <x v="0"/>
    <x v="0"/>
  </r>
  <r>
    <x v="744"/>
    <x v="22"/>
    <x v="50"/>
    <x v="2"/>
    <x v="1"/>
    <x v="0"/>
    <x v="205"/>
    <x v="219"/>
    <x v="157"/>
    <x v="656"/>
    <x v="0"/>
    <x v="1"/>
    <x v="1"/>
    <x v="3"/>
    <x v="147"/>
    <x v="0"/>
    <x v="0"/>
    <x v="1"/>
    <x v="0"/>
    <x v="1"/>
    <x v="0"/>
    <x v="0"/>
    <x v="0"/>
    <x v="0"/>
  </r>
  <r>
    <x v="745"/>
    <x v="37"/>
    <x v="21"/>
    <x v="2"/>
    <x v="1"/>
    <x v="0"/>
    <x v="346"/>
    <x v="94"/>
    <x v="229"/>
    <x v="638"/>
    <x v="0"/>
    <x v="1"/>
    <x v="0"/>
    <x v="0"/>
    <x v="247"/>
    <x v="1"/>
    <x v="0"/>
    <x v="0"/>
    <x v="1"/>
    <x v="0"/>
    <x v="0"/>
    <x v="0"/>
    <x v="0"/>
    <x v="0"/>
  </r>
  <r>
    <x v="746"/>
    <x v="14"/>
    <x v="55"/>
    <x v="2"/>
    <x v="3"/>
    <x v="0"/>
    <x v="66"/>
    <x v="665"/>
    <x v="154"/>
    <x v="610"/>
    <x v="0"/>
    <x v="1"/>
    <x v="0"/>
    <x v="1"/>
    <x v="190"/>
    <x v="2"/>
    <x v="0"/>
    <x v="1"/>
    <x v="0"/>
    <x v="0"/>
    <x v="0"/>
    <x v="0"/>
    <x v="0"/>
    <x v="0"/>
  </r>
  <r>
    <x v="747"/>
    <x v="30"/>
    <x v="18"/>
    <x v="2"/>
    <x v="3"/>
    <x v="1"/>
    <x v="198"/>
    <x v="118"/>
    <x v="76"/>
    <x v="389"/>
    <x v="0"/>
    <x v="1"/>
    <x v="1"/>
    <x v="2"/>
    <x v="190"/>
    <x v="1"/>
    <x v="0"/>
    <x v="0"/>
    <x v="1"/>
    <x v="1"/>
    <x v="0"/>
    <x v="0"/>
    <x v="1"/>
    <x v="1"/>
  </r>
  <r>
    <x v="748"/>
    <x v="13"/>
    <x v="62"/>
    <x v="2"/>
    <x v="5"/>
    <x v="0"/>
    <x v="169"/>
    <x v="383"/>
    <x v="192"/>
    <x v="676"/>
    <x v="0"/>
    <x v="1"/>
    <x v="1"/>
    <x v="1"/>
    <x v="171"/>
    <x v="1"/>
    <x v="0"/>
    <x v="0"/>
    <x v="0"/>
    <x v="1"/>
    <x v="0"/>
    <x v="1"/>
    <x v="0"/>
    <x v="0"/>
  </r>
  <r>
    <x v="749"/>
    <x v="22"/>
    <x v="26"/>
    <x v="2"/>
    <x v="5"/>
    <x v="0"/>
    <x v="210"/>
    <x v="712"/>
    <x v="71"/>
    <x v="401"/>
    <x v="1"/>
    <x v="0"/>
    <x v="2"/>
    <x v="2"/>
    <x v="90"/>
    <x v="0"/>
    <x v="0"/>
    <x v="0"/>
    <x v="0"/>
    <x v="1"/>
    <x v="1"/>
    <x v="0"/>
    <x v="0"/>
    <x v="0"/>
  </r>
  <r>
    <x v="750"/>
    <x v="23"/>
    <x v="2"/>
    <x v="2"/>
    <x v="3"/>
    <x v="1"/>
    <x v="345"/>
    <x v="207"/>
    <x v="126"/>
    <x v="558"/>
    <x v="0"/>
    <x v="1"/>
    <x v="0"/>
    <x v="0"/>
    <x v="184"/>
    <x v="2"/>
    <x v="0"/>
    <x v="0"/>
    <x v="2"/>
    <x v="0"/>
    <x v="0"/>
    <x v="0"/>
    <x v="1"/>
    <x v="1"/>
  </r>
  <r>
    <x v="751"/>
    <x v="50"/>
    <x v="10"/>
    <x v="0"/>
    <x v="3"/>
    <x v="0"/>
    <x v="305"/>
    <x v="336"/>
    <x v="26"/>
    <x v="141"/>
    <x v="0"/>
    <x v="1"/>
    <x v="0"/>
    <x v="0"/>
    <x v="156"/>
    <x v="1"/>
    <x v="0"/>
    <x v="0"/>
    <x v="1"/>
    <x v="0"/>
    <x v="0"/>
    <x v="0"/>
    <x v="0"/>
    <x v="0"/>
  </r>
  <r>
    <x v="752"/>
    <x v="36"/>
    <x v="58"/>
    <x v="1"/>
    <x v="3"/>
    <x v="1"/>
    <x v="130"/>
    <x v="108"/>
    <x v="45"/>
    <x v="807"/>
    <x v="1"/>
    <x v="0"/>
    <x v="0"/>
    <x v="0"/>
    <x v="84"/>
    <x v="1"/>
    <x v="0"/>
    <x v="0"/>
    <x v="0"/>
    <x v="0"/>
    <x v="1"/>
    <x v="0"/>
    <x v="1"/>
    <x v="1"/>
  </r>
  <r>
    <x v="753"/>
    <x v="37"/>
    <x v="62"/>
    <x v="1"/>
    <x v="1"/>
    <x v="1"/>
    <x v="248"/>
    <x v="633"/>
    <x v="119"/>
    <x v="851"/>
    <x v="1"/>
    <x v="0"/>
    <x v="0"/>
    <x v="0"/>
    <x v="184"/>
    <x v="2"/>
    <x v="1"/>
    <x v="0"/>
    <x v="0"/>
    <x v="0"/>
    <x v="1"/>
    <x v="0"/>
    <x v="1"/>
    <x v="1"/>
  </r>
  <r>
    <x v="754"/>
    <x v="16"/>
    <x v="15"/>
    <x v="0"/>
    <x v="5"/>
    <x v="1"/>
    <x v="415"/>
    <x v="637"/>
    <x v="141"/>
    <x v="86"/>
    <x v="2"/>
    <x v="0"/>
    <x v="1"/>
    <x v="2"/>
    <x v="199"/>
    <x v="0"/>
    <x v="3"/>
    <x v="1"/>
    <x v="1"/>
    <x v="1"/>
    <x v="1"/>
    <x v="0"/>
    <x v="1"/>
    <x v="0"/>
  </r>
  <r>
    <x v="755"/>
    <x v="25"/>
    <x v="43"/>
    <x v="2"/>
    <x v="3"/>
    <x v="1"/>
    <x v="122"/>
    <x v="612"/>
    <x v="1"/>
    <x v="982"/>
    <x v="2"/>
    <x v="0"/>
    <x v="0"/>
    <x v="0"/>
    <x v="184"/>
    <x v="1"/>
    <x v="0"/>
    <x v="1"/>
    <x v="0"/>
    <x v="0"/>
    <x v="1"/>
    <x v="0"/>
    <x v="1"/>
    <x v="1"/>
  </r>
  <r>
    <x v="756"/>
    <x v="27"/>
    <x v="41"/>
    <x v="0"/>
    <x v="3"/>
    <x v="0"/>
    <x v="249"/>
    <x v="553"/>
    <x v="150"/>
    <x v="129"/>
    <x v="0"/>
    <x v="1"/>
    <x v="1"/>
    <x v="1"/>
    <x v="323"/>
    <x v="0"/>
    <x v="1"/>
    <x v="0"/>
    <x v="0"/>
    <x v="1"/>
    <x v="0"/>
    <x v="0"/>
    <x v="0"/>
    <x v="0"/>
  </r>
  <r>
    <x v="757"/>
    <x v="45"/>
    <x v="9"/>
    <x v="1"/>
    <x v="0"/>
    <x v="0"/>
    <x v="202"/>
    <x v="430"/>
    <x v="58"/>
    <x v="747"/>
    <x v="0"/>
    <x v="1"/>
    <x v="1"/>
    <x v="1"/>
    <x v="5"/>
    <x v="1"/>
    <x v="0"/>
    <x v="0"/>
    <x v="1"/>
    <x v="1"/>
    <x v="0"/>
    <x v="0"/>
    <x v="0"/>
    <x v="0"/>
  </r>
  <r>
    <x v="758"/>
    <x v="10"/>
    <x v="32"/>
    <x v="1"/>
    <x v="2"/>
    <x v="0"/>
    <x v="221"/>
    <x v="221"/>
    <x v="205"/>
    <x v="707"/>
    <x v="0"/>
    <x v="1"/>
    <x v="1"/>
    <x v="3"/>
    <x v="316"/>
    <x v="0"/>
    <x v="0"/>
    <x v="0"/>
    <x v="0"/>
    <x v="1"/>
    <x v="0"/>
    <x v="0"/>
    <x v="0"/>
    <x v="0"/>
  </r>
  <r>
    <x v="759"/>
    <x v="3"/>
    <x v="49"/>
    <x v="1"/>
    <x v="1"/>
    <x v="1"/>
    <x v="39"/>
    <x v="144"/>
    <x v="90"/>
    <x v="846"/>
    <x v="1"/>
    <x v="0"/>
    <x v="0"/>
    <x v="0"/>
    <x v="184"/>
    <x v="4"/>
    <x v="1"/>
    <x v="0"/>
    <x v="0"/>
    <x v="0"/>
    <x v="1"/>
    <x v="0"/>
    <x v="1"/>
    <x v="1"/>
  </r>
  <r>
    <x v="760"/>
    <x v="29"/>
    <x v="69"/>
    <x v="0"/>
    <x v="5"/>
    <x v="0"/>
    <x v="407"/>
    <x v="719"/>
    <x v="38"/>
    <x v="227"/>
    <x v="0"/>
    <x v="1"/>
    <x v="1"/>
    <x v="2"/>
    <x v="212"/>
    <x v="1"/>
    <x v="0"/>
    <x v="0"/>
    <x v="0"/>
    <x v="1"/>
    <x v="0"/>
    <x v="0"/>
    <x v="0"/>
    <x v="0"/>
  </r>
  <r>
    <x v="761"/>
    <x v="47"/>
    <x v="61"/>
    <x v="0"/>
    <x v="2"/>
    <x v="0"/>
    <x v="127"/>
    <x v="621"/>
    <x v="120"/>
    <x v="211"/>
    <x v="0"/>
    <x v="1"/>
    <x v="0"/>
    <x v="2"/>
    <x v="122"/>
    <x v="1"/>
    <x v="2"/>
    <x v="0"/>
    <x v="0"/>
    <x v="0"/>
    <x v="0"/>
    <x v="0"/>
    <x v="0"/>
    <x v="0"/>
  </r>
  <r>
    <x v="762"/>
    <x v="42"/>
    <x v="7"/>
    <x v="0"/>
    <x v="2"/>
    <x v="1"/>
    <x v="369"/>
    <x v="174"/>
    <x v="52"/>
    <x v="982"/>
    <x v="1"/>
    <x v="0"/>
    <x v="0"/>
    <x v="0"/>
    <x v="82"/>
    <x v="0"/>
    <x v="0"/>
    <x v="1"/>
    <x v="1"/>
    <x v="0"/>
    <x v="1"/>
    <x v="0"/>
    <x v="1"/>
    <x v="0"/>
  </r>
  <r>
    <x v="763"/>
    <x v="47"/>
    <x v="17"/>
    <x v="0"/>
    <x v="2"/>
    <x v="0"/>
    <x v="146"/>
    <x v="418"/>
    <x v="204"/>
    <x v="90"/>
    <x v="1"/>
    <x v="0"/>
    <x v="0"/>
    <x v="0"/>
    <x v="184"/>
    <x v="0"/>
    <x v="0"/>
    <x v="1"/>
    <x v="1"/>
    <x v="0"/>
    <x v="1"/>
    <x v="0"/>
    <x v="0"/>
    <x v="0"/>
  </r>
  <r>
    <x v="764"/>
    <x v="22"/>
    <x v="31"/>
    <x v="0"/>
    <x v="0"/>
    <x v="1"/>
    <x v="145"/>
    <x v="295"/>
    <x v="115"/>
    <x v="173"/>
    <x v="0"/>
    <x v="1"/>
    <x v="0"/>
    <x v="0"/>
    <x v="351"/>
    <x v="1"/>
    <x v="2"/>
    <x v="0"/>
    <x v="0"/>
    <x v="0"/>
    <x v="0"/>
    <x v="0"/>
    <x v="1"/>
    <x v="1"/>
  </r>
  <r>
    <x v="765"/>
    <x v="13"/>
    <x v="10"/>
    <x v="0"/>
    <x v="2"/>
    <x v="1"/>
    <x v="389"/>
    <x v="80"/>
    <x v="104"/>
    <x v="155"/>
    <x v="0"/>
    <x v="1"/>
    <x v="0"/>
    <x v="1"/>
    <x v="164"/>
    <x v="3"/>
    <x v="1"/>
    <x v="0"/>
    <x v="1"/>
    <x v="0"/>
    <x v="0"/>
    <x v="0"/>
    <x v="1"/>
    <x v="1"/>
  </r>
  <r>
    <x v="766"/>
    <x v="38"/>
    <x v="41"/>
    <x v="1"/>
    <x v="2"/>
    <x v="1"/>
    <x v="364"/>
    <x v="463"/>
    <x v="156"/>
    <x v="811"/>
    <x v="0"/>
    <x v="1"/>
    <x v="0"/>
    <x v="0"/>
    <x v="227"/>
    <x v="0"/>
    <x v="3"/>
    <x v="1"/>
    <x v="0"/>
    <x v="0"/>
    <x v="0"/>
    <x v="0"/>
    <x v="1"/>
    <x v="1"/>
  </r>
  <r>
    <x v="767"/>
    <x v="2"/>
    <x v="0"/>
    <x v="0"/>
    <x v="2"/>
    <x v="1"/>
    <x v="258"/>
    <x v="257"/>
    <x v="47"/>
    <x v="42"/>
    <x v="1"/>
    <x v="0"/>
    <x v="1"/>
    <x v="1"/>
    <x v="194"/>
    <x v="2"/>
    <x v="0"/>
    <x v="2"/>
    <x v="2"/>
    <x v="1"/>
    <x v="1"/>
    <x v="0"/>
    <x v="1"/>
    <x v="1"/>
  </r>
  <r>
    <x v="768"/>
    <x v="51"/>
    <x v="8"/>
    <x v="0"/>
    <x v="2"/>
    <x v="0"/>
    <x v="333"/>
    <x v="122"/>
    <x v="27"/>
    <x v="294"/>
    <x v="0"/>
    <x v="1"/>
    <x v="2"/>
    <x v="3"/>
    <x v="343"/>
    <x v="1"/>
    <x v="0"/>
    <x v="3"/>
    <x v="1"/>
    <x v="1"/>
    <x v="0"/>
    <x v="0"/>
    <x v="0"/>
    <x v="0"/>
  </r>
  <r>
    <x v="769"/>
    <x v="41"/>
    <x v="3"/>
    <x v="1"/>
    <x v="1"/>
    <x v="0"/>
    <x v="188"/>
    <x v="21"/>
    <x v="144"/>
    <x v="788"/>
    <x v="0"/>
    <x v="1"/>
    <x v="1"/>
    <x v="1"/>
    <x v="0"/>
    <x v="1"/>
    <x v="0"/>
    <x v="1"/>
    <x v="2"/>
    <x v="1"/>
    <x v="0"/>
    <x v="1"/>
    <x v="0"/>
    <x v="0"/>
  </r>
  <r>
    <x v="770"/>
    <x v="29"/>
    <x v="21"/>
    <x v="2"/>
    <x v="3"/>
    <x v="0"/>
    <x v="228"/>
    <x v="15"/>
    <x v="40"/>
    <x v="672"/>
    <x v="1"/>
    <x v="0"/>
    <x v="2"/>
    <x v="3"/>
    <x v="230"/>
    <x v="0"/>
    <x v="1"/>
    <x v="2"/>
    <x v="1"/>
    <x v="1"/>
    <x v="1"/>
    <x v="1"/>
    <x v="0"/>
    <x v="0"/>
  </r>
  <r>
    <x v="771"/>
    <x v="11"/>
    <x v="54"/>
    <x v="1"/>
    <x v="1"/>
    <x v="0"/>
    <x v="141"/>
    <x v="271"/>
    <x v="40"/>
    <x v="959"/>
    <x v="0"/>
    <x v="1"/>
    <x v="0"/>
    <x v="0"/>
    <x v="106"/>
    <x v="1"/>
    <x v="1"/>
    <x v="0"/>
    <x v="0"/>
    <x v="0"/>
    <x v="0"/>
    <x v="0"/>
    <x v="0"/>
    <x v="0"/>
  </r>
  <r>
    <x v="772"/>
    <x v="14"/>
    <x v="12"/>
    <x v="2"/>
    <x v="1"/>
    <x v="0"/>
    <x v="352"/>
    <x v="374"/>
    <x v="174"/>
    <x v="723"/>
    <x v="1"/>
    <x v="0"/>
    <x v="0"/>
    <x v="0"/>
    <x v="0"/>
    <x v="1"/>
    <x v="0"/>
    <x v="0"/>
    <x v="1"/>
    <x v="0"/>
    <x v="1"/>
    <x v="0"/>
    <x v="0"/>
    <x v="0"/>
  </r>
  <r>
    <x v="773"/>
    <x v="57"/>
    <x v="71"/>
    <x v="1"/>
    <x v="5"/>
    <x v="0"/>
    <x v="138"/>
    <x v="132"/>
    <x v="152"/>
    <x v="923"/>
    <x v="0"/>
    <x v="1"/>
    <x v="1"/>
    <x v="1"/>
    <x v="148"/>
    <x v="2"/>
    <x v="0"/>
    <x v="2"/>
    <x v="0"/>
    <x v="1"/>
    <x v="0"/>
    <x v="0"/>
    <x v="0"/>
    <x v="0"/>
  </r>
  <r>
    <x v="774"/>
    <x v="0"/>
    <x v="19"/>
    <x v="2"/>
    <x v="2"/>
    <x v="0"/>
    <x v="414"/>
    <x v="594"/>
    <x v="29"/>
    <x v="714"/>
    <x v="1"/>
    <x v="0"/>
    <x v="1"/>
    <x v="5"/>
    <x v="350"/>
    <x v="1"/>
    <x v="2"/>
    <x v="1"/>
    <x v="1"/>
    <x v="1"/>
    <x v="1"/>
    <x v="0"/>
    <x v="0"/>
    <x v="0"/>
  </r>
  <r>
    <x v="775"/>
    <x v="0"/>
    <x v="3"/>
    <x v="2"/>
    <x v="0"/>
    <x v="0"/>
    <x v="184"/>
    <x v="379"/>
    <x v="72"/>
    <x v="603"/>
    <x v="1"/>
    <x v="0"/>
    <x v="1"/>
    <x v="1"/>
    <x v="114"/>
    <x v="1"/>
    <x v="1"/>
    <x v="1"/>
    <x v="2"/>
    <x v="1"/>
    <x v="1"/>
    <x v="0"/>
    <x v="0"/>
    <x v="0"/>
  </r>
  <r>
    <x v="776"/>
    <x v="20"/>
    <x v="24"/>
    <x v="2"/>
    <x v="1"/>
    <x v="0"/>
    <x v="231"/>
    <x v="568"/>
    <x v="53"/>
    <x v="817"/>
    <x v="0"/>
    <x v="1"/>
    <x v="0"/>
    <x v="1"/>
    <x v="274"/>
    <x v="1"/>
    <x v="0"/>
    <x v="0"/>
    <x v="0"/>
    <x v="0"/>
    <x v="0"/>
    <x v="0"/>
    <x v="0"/>
    <x v="0"/>
  </r>
  <r>
    <x v="777"/>
    <x v="13"/>
    <x v="53"/>
    <x v="2"/>
    <x v="2"/>
    <x v="1"/>
    <x v="333"/>
    <x v="337"/>
    <x v="234"/>
    <x v="373"/>
    <x v="1"/>
    <x v="0"/>
    <x v="0"/>
    <x v="1"/>
    <x v="310"/>
    <x v="1"/>
    <x v="0"/>
    <x v="0"/>
    <x v="0"/>
    <x v="0"/>
    <x v="1"/>
    <x v="0"/>
    <x v="1"/>
    <x v="1"/>
  </r>
  <r>
    <x v="778"/>
    <x v="39"/>
    <x v="7"/>
    <x v="0"/>
    <x v="5"/>
    <x v="0"/>
    <x v="232"/>
    <x v="150"/>
    <x v="178"/>
    <x v="201"/>
    <x v="0"/>
    <x v="1"/>
    <x v="0"/>
    <x v="0"/>
    <x v="184"/>
    <x v="0"/>
    <x v="0"/>
    <x v="0"/>
    <x v="1"/>
    <x v="0"/>
    <x v="0"/>
    <x v="0"/>
    <x v="0"/>
    <x v="0"/>
  </r>
  <r>
    <x v="779"/>
    <x v="2"/>
    <x v="5"/>
    <x v="2"/>
    <x v="0"/>
    <x v="1"/>
    <x v="186"/>
    <x v="441"/>
    <x v="86"/>
    <x v="587"/>
    <x v="1"/>
    <x v="0"/>
    <x v="3"/>
    <x v="5"/>
    <x v="201"/>
    <x v="1"/>
    <x v="0"/>
    <x v="0"/>
    <x v="2"/>
    <x v="1"/>
    <x v="1"/>
    <x v="0"/>
    <x v="1"/>
    <x v="1"/>
  </r>
  <r>
    <x v="780"/>
    <x v="45"/>
    <x v="61"/>
    <x v="0"/>
    <x v="3"/>
    <x v="0"/>
    <x v="225"/>
    <x v="56"/>
    <x v="155"/>
    <x v="51"/>
    <x v="0"/>
    <x v="1"/>
    <x v="3"/>
    <x v="3"/>
    <x v="13"/>
    <x v="2"/>
    <x v="1"/>
    <x v="1"/>
    <x v="0"/>
    <x v="1"/>
    <x v="0"/>
    <x v="0"/>
    <x v="0"/>
    <x v="0"/>
  </r>
  <r>
    <x v="781"/>
    <x v="45"/>
    <x v="42"/>
    <x v="1"/>
    <x v="0"/>
    <x v="0"/>
    <x v="350"/>
    <x v="554"/>
    <x v="23"/>
    <x v="841"/>
    <x v="0"/>
    <x v="1"/>
    <x v="1"/>
    <x v="1"/>
    <x v="107"/>
    <x v="3"/>
    <x v="1"/>
    <x v="1"/>
    <x v="0"/>
    <x v="1"/>
    <x v="0"/>
    <x v="0"/>
    <x v="0"/>
    <x v="0"/>
  </r>
  <r>
    <x v="782"/>
    <x v="13"/>
    <x v="24"/>
    <x v="0"/>
    <x v="1"/>
    <x v="0"/>
    <x v="141"/>
    <x v="125"/>
    <x v="68"/>
    <x v="248"/>
    <x v="1"/>
    <x v="0"/>
    <x v="0"/>
    <x v="0"/>
    <x v="285"/>
    <x v="2"/>
    <x v="0"/>
    <x v="1"/>
    <x v="0"/>
    <x v="0"/>
    <x v="1"/>
    <x v="0"/>
    <x v="0"/>
    <x v="0"/>
  </r>
  <r>
    <x v="783"/>
    <x v="33"/>
    <x v="54"/>
    <x v="0"/>
    <x v="1"/>
    <x v="1"/>
    <x v="212"/>
    <x v="648"/>
    <x v="122"/>
    <x v="24"/>
    <x v="0"/>
    <x v="1"/>
    <x v="2"/>
    <x v="3"/>
    <x v="194"/>
    <x v="0"/>
    <x v="1"/>
    <x v="1"/>
    <x v="0"/>
    <x v="1"/>
    <x v="0"/>
    <x v="0"/>
    <x v="1"/>
    <x v="1"/>
  </r>
  <r>
    <x v="784"/>
    <x v="38"/>
    <x v="60"/>
    <x v="0"/>
    <x v="0"/>
    <x v="1"/>
    <x v="230"/>
    <x v="284"/>
    <x v="147"/>
    <x v="102"/>
    <x v="0"/>
    <x v="1"/>
    <x v="0"/>
    <x v="0"/>
    <x v="184"/>
    <x v="0"/>
    <x v="1"/>
    <x v="0"/>
    <x v="0"/>
    <x v="0"/>
    <x v="0"/>
    <x v="0"/>
    <x v="1"/>
    <x v="0"/>
  </r>
  <r>
    <x v="785"/>
    <x v="49"/>
    <x v="25"/>
    <x v="1"/>
    <x v="3"/>
    <x v="0"/>
    <x v="347"/>
    <x v="674"/>
    <x v="108"/>
    <x v="713"/>
    <x v="0"/>
    <x v="1"/>
    <x v="1"/>
    <x v="1"/>
    <x v="203"/>
    <x v="1"/>
    <x v="1"/>
    <x v="0"/>
    <x v="0"/>
    <x v="1"/>
    <x v="0"/>
    <x v="0"/>
    <x v="0"/>
    <x v="0"/>
  </r>
  <r>
    <x v="786"/>
    <x v="42"/>
    <x v="40"/>
    <x v="0"/>
    <x v="5"/>
    <x v="0"/>
    <x v="215"/>
    <x v="81"/>
    <x v="132"/>
    <x v="38"/>
    <x v="0"/>
    <x v="1"/>
    <x v="0"/>
    <x v="1"/>
    <x v="364"/>
    <x v="2"/>
    <x v="0"/>
    <x v="0"/>
    <x v="0"/>
    <x v="0"/>
    <x v="0"/>
    <x v="0"/>
    <x v="0"/>
    <x v="0"/>
  </r>
  <r>
    <x v="787"/>
    <x v="55"/>
    <x v="0"/>
    <x v="2"/>
    <x v="3"/>
    <x v="1"/>
    <x v="439"/>
    <x v="177"/>
    <x v="120"/>
    <x v="691"/>
    <x v="0"/>
    <x v="1"/>
    <x v="2"/>
    <x v="3"/>
    <x v="140"/>
    <x v="0"/>
    <x v="0"/>
    <x v="0"/>
    <x v="2"/>
    <x v="1"/>
    <x v="0"/>
    <x v="0"/>
    <x v="1"/>
    <x v="0"/>
  </r>
  <r>
    <x v="788"/>
    <x v="6"/>
    <x v="22"/>
    <x v="1"/>
    <x v="5"/>
    <x v="0"/>
    <x v="208"/>
    <x v="383"/>
    <x v="104"/>
    <x v="802"/>
    <x v="0"/>
    <x v="1"/>
    <x v="1"/>
    <x v="2"/>
    <x v="338"/>
    <x v="2"/>
    <x v="1"/>
    <x v="0"/>
    <x v="1"/>
    <x v="1"/>
    <x v="0"/>
    <x v="1"/>
    <x v="0"/>
    <x v="0"/>
  </r>
  <r>
    <x v="789"/>
    <x v="35"/>
    <x v="42"/>
    <x v="0"/>
    <x v="1"/>
    <x v="0"/>
    <x v="195"/>
    <x v="695"/>
    <x v="94"/>
    <x v="239"/>
    <x v="0"/>
    <x v="1"/>
    <x v="0"/>
    <x v="0"/>
    <x v="203"/>
    <x v="0"/>
    <x v="1"/>
    <x v="0"/>
    <x v="0"/>
    <x v="0"/>
    <x v="0"/>
    <x v="0"/>
    <x v="0"/>
    <x v="0"/>
  </r>
  <r>
    <x v="790"/>
    <x v="44"/>
    <x v="14"/>
    <x v="1"/>
    <x v="3"/>
    <x v="0"/>
    <x v="205"/>
    <x v="767"/>
    <x v="85"/>
    <x v="774"/>
    <x v="0"/>
    <x v="1"/>
    <x v="0"/>
    <x v="0"/>
    <x v="184"/>
    <x v="0"/>
    <x v="1"/>
    <x v="1"/>
    <x v="1"/>
    <x v="0"/>
    <x v="0"/>
    <x v="0"/>
    <x v="0"/>
    <x v="0"/>
  </r>
  <r>
    <x v="791"/>
    <x v="13"/>
    <x v="71"/>
    <x v="0"/>
    <x v="3"/>
    <x v="0"/>
    <x v="67"/>
    <x v="419"/>
    <x v="131"/>
    <x v="255"/>
    <x v="0"/>
    <x v="1"/>
    <x v="0"/>
    <x v="0"/>
    <x v="56"/>
    <x v="1"/>
    <x v="0"/>
    <x v="0"/>
    <x v="0"/>
    <x v="0"/>
    <x v="0"/>
    <x v="0"/>
    <x v="0"/>
    <x v="0"/>
  </r>
  <r>
    <x v="792"/>
    <x v="12"/>
    <x v="69"/>
    <x v="0"/>
    <x v="3"/>
    <x v="0"/>
    <x v="95"/>
    <x v="786"/>
    <x v="144"/>
    <x v="281"/>
    <x v="0"/>
    <x v="1"/>
    <x v="0"/>
    <x v="0"/>
    <x v="209"/>
    <x v="0"/>
    <x v="0"/>
    <x v="0"/>
    <x v="0"/>
    <x v="0"/>
    <x v="0"/>
    <x v="0"/>
    <x v="0"/>
    <x v="0"/>
  </r>
  <r>
    <x v="793"/>
    <x v="5"/>
    <x v="18"/>
    <x v="2"/>
    <x v="2"/>
    <x v="0"/>
    <x v="158"/>
    <x v="298"/>
    <x v="129"/>
    <x v="619"/>
    <x v="0"/>
    <x v="1"/>
    <x v="0"/>
    <x v="0"/>
    <x v="145"/>
    <x v="0"/>
    <x v="0"/>
    <x v="0"/>
    <x v="1"/>
    <x v="0"/>
    <x v="0"/>
    <x v="0"/>
    <x v="0"/>
    <x v="0"/>
  </r>
  <r>
    <x v="794"/>
    <x v="57"/>
    <x v="28"/>
    <x v="1"/>
    <x v="2"/>
    <x v="0"/>
    <x v="380"/>
    <x v="684"/>
    <x v="34"/>
    <x v="937"/>
    <x v="1"/>
    <x v="0"/>
    <x v="0"/>
    <x v="2"/>
    <x v="204"/>
    <x v="0"/>
    <x v="1"/>
    <x v="0"/>
    <x v="0"/>
    <x v="0"/>
    <x v="1"/>
    <x v="0"/>
    <x v="0"/>
    <x v="0"/>
  </r>
  <r>
    <x v="795"/>
    <x v="50"/>
    <x v="13"/>
    <x v="0"/>
    <x v="3"/>
    <x v="0"/>
    <x v="225"/>
    <x v="124"/>
    <x v="47"/>
    <x v="57"/>
    <x v="0"/>
    <x v="1"/>
    <x v="0"/>
    <x v="1"/>
    <x v="312"/>
    <x v="1"/>
    <x v="0"/>
    <x v="0"/>
    <x v="1"/>
    <x v="0"/>
    <x v="0"/>
    <x v="0"/>
    <x v="0"/>
    <x v="0"/>
  </r>
  <r>
    <x v="796"/>
    <x v="7"/>
    <x v="36"/>
    <x v="2"/>
    <x v="2"/>
    <x v="0"/>
    <x v="165"/>
    <x v="522"/>
    <x v="143"/>
    <x v="381"/>
    <x v="1"/>
    <x v="0"/>
    <x v="1"/>
    <x v="2"/>
    <x v="230"/>
    <x v="2"/>
    <x v="2"/>
    <x v="0"/>
    <x v="0"/>
    <x v="1"/>
    <x v="1"/>
    <x v="0"/>
    <x v="0"/>
    <x v="0"/>
  </r>
  <r>
    <x v="797"/>
    <x v="14"/>
    <x v="8"/>
    <x v="0"/>
    <x v="2"/>
    <x v="0"/>
    <x v="391"/>
    <x v="0"/>
    <x v="217"/>
    <x v="982"/>
    <x v="0"/>
    <x v="1"/>
    <x v="1"/>
    <x v="2"/>
    <x v="311"/>
    <x v="2"/>
    <x v="1"/>
    <x v="0"/>
    <x v="1"/>
    <x v="1"/>
    <x v="0"/>
    <x v="1"/>
    <x v="0"/>
    <x v="0"/>
  </r>
  <r>
    <x v="798"/>
    <x v="26"/>
    <x v="28"/>
    <x v="2"/>
    <x v="5"/>
    <x v="0"/>
    <x v="421"/>
    <x v="82"/>
    <x v="126"/>
    <x v="545"/>
    <x v="0"/>
    <x v="1"/>
    <x v="2"/>
    <x v="2"/>
    <x v="113"/>
    <x v="1"/>
    <x v="1"/>
    <x v="0"/>
    <x v="0"/>
    <x v="1"/>
    <x v="0"/>
    <x v="0"/>
    <x v="0"/>
    <x v="0"/>
  </r>
  <r>
    <x v="799"/>
    <x v="51"/>
    <x v="39"/>
    <x v="2"/>
    <x v="5"/>
    <x v="1"/>
    <x v="394"/>
    <x v="535"/>
    <x v="86"/>
    <x v="513"/>
    <x v="1"/>
    <x v="0"/>
    <x v="0"/>
    <x v="2"/>
    <x v="94"/>
    <x v="2"/>
    <x v="0"/>
    <x v="0"/>
    <x v="0"/>
    <x v="0"/>
    <x v="1"/>
    <x v="0"/>
    <x v="1"/>
    <x v="1"/>
  </r>
  <r>
    <x v="800"/>
    <x v="47"/>
    <x v="44"/>
    <x v="2"/>
    <x v="5"/>
    <x v="0"/>
    <x v="119"/>
    <x v="51"/>
    <x v="131"/>
    <x v="544"/>
    <x v="0"/>
    <x v="1"/>
    <x v="1"/>
    <x v="1"/>
    <x v="189"/>
    <x v="1"/>
    <x v="1"/>
    <x v="1"/>
    <x v="0"/>
    <x v="1"/>
    <x v="0"/>
    <x v="1"/>
    <x v="0"/>
    <x v="0"/>
  </r>
  <r>
    <x v="801"/>
    <x v="50"/>
    <x v="42"/>
    <x v="2"/>
    <x v="3"/>
    <x v="0"/>
    <x v="164"/>
    <x v="525"/>
    <x v="37"/>
    <x v="600"/>
    <x v="0"/>
    <x v="1"/>
    <x v="0"/>
    <x v="0"/>
    <x v="183"/>
    <x v="0"/>
    <x v="1"/>
    <x v="1"/>
    <x v="0"/>
    <x v="0"/>
    <x v="0"/>
    <x v="0"/>
    <x v="0"/>
    <x v="0"/>
  </r>
  <r>
    <x v="802"/>
    <x v="48"/>
    <x v="15"/>
    <x v="0"/>
    <x v="0"/>
    <x v="0"/>
    <x v="440"/>
    <x v="645"/>
    <x v="207"/>
    <x v="277"/>
    <x v="0"/>
    <x v="1"/>
    <x v="0"/>
    <x v="1"/>
    <x v="169"/>
    <x v="4"/>
    <x v="0"/>
    <x v="0"/>
    <x v="1"/>
    <x v="0"/>
    <x v="0"/>
    <x v="0"/>
    <x v="0"/>
    <x v="0"/>
  </r>
  <r>
    <x v="803"/>
    <x v="36"/>
    <x v="57"/>
    <x v="2"/>
    <x v="1"/>
    <x v="0"/>
    <x v="262"/>
    <x v="223"/>
    <x v="128"/>
    <x v="699"/>
    <x v="1"/>
    <x v="0"/>
    <x v="1"/>
    <x v="1"/>
    <x v="79"/>
    <x v="2"/>
    <x v="1"/>
    <x v="0"/>
    <x v="0"/>
    <x v="1"/>
    <x v="1"/>
    <x v="0"/>
    <x v="0"/>
    <x v="0"/>
  </r>
  <r>
    <x v="804"/>
    <x v="16"/>
    <x v="49"/>
    <x v="2"/>
    <x v="2"/>
    <x v="0"/>
    <x v="191"/>
    <x v="118"/>
    <x v="68"/>
    <x v="459"/>
    <x v="0"/>
    <x v="1"/>
    <x v="0"/>
    <x v="0"/>
    <x v="310"/>
    <x v="2"/>
    <x v="2"/>
    <x v="1"/>
    <x v="0"/>
    <x v="0"/>
    <x v="0"/>
    <x v="0"/>
    <x v="0"/>
    <x v="0"/>
  </r>
  <r>
    <x v="805"/>
    <x v="35"/>
    <x v="54"/>
    <x v="2"/>
    <x v="2"/>
    <x v="0"/>
    <x v="329"/>
    <x v="231"/>
    <x v="103"/>
    <x v="439"/>
    <x v="0"/>
    <x v="1"/>
    <x v="0"/>
    <x v="2"/>
    <x v="147"/>
    <x v="3"/>
    <x v="0"/>
    <x v="0"/>
    <x v="0"/>
    <x v="0"/>
    <x v="0"/>
    <x v="0"/>
    <x v="0"/>
    <x v="0"/>
  </r>
  <r>
    <x v="806"/>
    <x v="28"/>
    <x v="33"/>
    <x v="0"/>
    <x v="5"/>
    <x v="0"/>
    <x v="366"/>
    <x v="119"/>
    <x v="78"/>
    <x v="26"/>
    <x v="0"/>
    <x v="1"/>
    <x v="1"/>
    <x v="1"/>
    <x v="328"/>
    <x v="2"/>
    <x v="0"/>
    <x v="1"/>
    <x v="0"/>
    <x v="1"/>
    <x v="0"/>
    <x v="0"/>
    <x v="0"/>
    <x v="0"/>
  </r>
  <r>
    <x v="807"/>
    <x v="55"/>
    <x v="64"/>
    <x v="2"/>
    <x v="2"/>
    <x v="1"/>
    <x v="152"/>
    <x v="367"/>
    <x v="207"/>
    <x v="336"/>
    <x v="3"/>
    <x v="0"/>
    <x v="0"/>
    <x v="0"/>
    <x v="184"/>
    <x v="5"/>
    <x v="0"/>
    <x v="0"/>
    <x v="0"/>
    <x v="0"/>
    <x v="1"/>
    <x v="0"/>
    <x v="1"/>
    <x v="0"/>
  </r>
  <r>
    <x v="808"/>
    <x v="26"/>
    <x v="28"/>
    <x v="2"/>
    <x v="1"/>
    <x v="0"/>
    <x v="259"/>
    <x v="438"/>
    <x v="101"/>
    <x v="407"/>
    <x v="0"/>
    <x v="1"/>
    <x v="0"/>
    <x v="0"/>
    <x v="259"/>
    <x v="2"/>
    <x v="0"/>
    <x v="0"/>
    <x v="0"/>
    <x v="0"/>
    <x v="0"/>
    <x v="0"/>
    <x v="0"/>
    <x v="0"/>
  </r>
  <r>
    <x v="809"/>
    <x v="43"/>
    <x v="58"/>
    <x v="0"/>
    <x v="0"/>
    <x v="0"/>
    <x v="354"/>
    <x v="294"/>
    <x v="126"/>
    <x v="213"/>
    <x v="0"/>
    <x v="1"/>
    <x v="2"/>
    <x v="2"/>
    <x v="250"/>
    <x v="0"/>
    <x v="0"/>
    <x v="0"/>
    <x v="0"/>
    <x v="1"/>
    <x v="0"/>
    <x v="0"/>
    <x v="0"/>
    <x v="0"/>
  </r>
  <r>
    <x v="810"/>
    <x v="10"/>
    <x v="14"/>
    <x v="0"/>
    <x v="4"/>
    <x v="0"/>
    <x v="80"/>
    <x v="768"/>
    <x v="155"/>
    <x v="80"/>
    <x v="0"/>
    <x v="1"/>
    <x v="0"/>
    <x v="0"/>
    <x v="94"/>
    <x v="0"/>
    <x v="1"/>
    <x v="1"/>
    <x v="1"/>
    <x v="0"/>
    <x v="0"/>
    <x v="0"/>
    <x v="0"/>
    <x v="0"/>
  </r>
  <r>
    <x v="811"/>
    <x v="39"/>
    <x v="17"/>
    <x v="2"/>
    <x v="2"/>
    <x v="0"/>
    <x v="230"/>
    <x v="171"/>
    <x v="63"/>
    <x v="665"/>
    <x v="1"/>
    <x v="0"/>
    <x v="0"/>
    <x v="1"/>
    <x v="229"/>
    <x v="1"/>
    <x v="1"/>
    <x v="0"/>
    <x v="1"/>
    <x v="0"/>
    <x v="1"/>
    <x v="0"/>
    <x v="0"/>
    <x v="0"/>
  </r>
  <r>
    <x v="812"/>
    <x v="26"/>
    <x v="37"/>
    <x v="2"/>
    <x v="0"/>
    <x v="0"/>
    <x v="86"/>
    <x v="732"/>
    <x v="129"/>
    <x v="704"/>
    <x v="0"/>
    <x v="1"/>
    <x v="0"/>
    <x v="0"/>
    <x v="355"/>
    <x v="0"/>
    <x v="0"/>
    <x v="0"/>
    <x v="0"/>
    <x v="0"/>
    <x v="0"/>
    <x v="0"/>
    <x v="0"/>
    <x v="0"/>
  </r>
  <r>
    <x v="813"/>
    <x v="25"/>
    <x v="40"/>
    <x v="0"/>
    <x v="1"/>
    <x v="1"/>
    <x v="102"/>
    <x v="100"/>
    <x v="134"/>
    <x v="123"/>
    <x v="0"/>
    <x v="1"/>
    <x v="0"/>
    <x v="1"/>
    <x v="217"/>
    <x v="0"/>
    <x v="0"/>
    <x v="1"/>
    <x v="0"/>
    <x v="0"/>
    <x v="0"/>
    <x v="0"/>
    <x v="1"/>
    <x v="1"/>
  </r>
  <r>
    <x v="814"/>
    <x v="43"/>
    <x v="53"/>
    <x v="1"/>
    <x v="2"/>
    <x v="1"/>
    <x v="154"/>
    <x v="429"/>
    <x v="9"/>
    <x v="916"/>
    <x v="1"/>
    <x v="0"/>
    <x v="0"/>
    <x v="1"/>
    <x v="284"/>
    <x v="5"/>
    <x v="0"/>
    <x v="0"/>
    <x v="0"/>
    <x v="0"/>
    <x v="1"/>
    <x v="0"/>
    <x v="1"/>
    <x v="0"/>
  </r>
  <r>
    <x v="815"/>
    <x v="28"/>
    <x v="21"/>
    <x v="2"/>
    <x v="0"/>
    <x v="0"/>
    <x v="294"/>
    <x v="699"/>
    <x v="133"/>
    <x v="666"/>
    <x v="1"/>
    <x v="0"/>
    <x v="0"/>
    <x v="0"/>
    <x v="184"/>
    <x v="0"/>
    <x v="1"/>
    <x v="1"/>
    <x v="1"/>
    <x v="0"/>
    <x v="1"/>
    <x v="0"/>
    <x v="0"/>
    <x v="0"/>
  </r>
  <r>
    <x v="816"/>
    <x v="3"/>
    <x v="62"/>
    <x v="1"/>
    <x v="0"/>
    <x v="0"/>
    <x v="183"/>
    <x v="688"/>
    <x v="112"/>
    <x v="913"/>
    <x v="1"/>
    <x v="0"/>
    <x v="3"/>
    <x v="4"/>
    <x v="224"/>
    <x v="0"/>
    <x v="2"/>
    <x v="1"/>
    <x v="0"/>
    <x v="1"/>
    <x v="1"/>
    <x v="0"/>
    <x v="0"/>
    <x v="0"/>
  </r>
  <r>
    <x v="817"/>
    <x v="22"/>
    <x v="23"/>
    <x v="2"/>
    <x v="1"/>
    <x v="0"/>
    <x v="142"/>
    <x v="253"/>
    <x v="124"/>
    <x v="643"/>
    <x v="0"/>
    <x v="1"/>
    <x v="0"/>
    <x v="0"/>
    <x v="184"/>
    <x v="0"/>
    <x v="2"/>
    <x v="0"/>
    <x v="1"/>
    <x v="0"/>
    <x v="0"/>
    <x v="0"/>
    <x v="0"/>
    <x v="0"/>
  </r>
  <r>
    <x v="818"/>
    <x v="55"/>
    <x v="38"/>
    <x v="2"/>
    <x v="4"/>
    <x v="0"/>
    <x v="236"/>
    <x v="559"/>
    <x v="117"/>
    <x v="415"/>
    <x v="0"/>
    <x v="1"/>
    <x v="1"/>
    <x v="2"/>
    <x v="249"/>
    <x v="1"/>
    <x v="1"/>
    <x v="2"/>
    <x v="0"/>
    <x v="1"/>
    <x v="0"/>
    <x v="0"/>
    <x v="0"/>
    <x v="0"/>
  </r>
  <r>
    <x v="819"/>
    <x v="54"/>
    <x v="67"/>
    <x v="2"/>
    <x v="3"/>
    <x v="0"/>
    <x v="82"/>
    <x v="523"/>
    <x v="133"/>
    <x v="432"/>
    <x v="2"/>
    <x v="0"/>
    <x v="1"/>
    <x v="1"/>
    <x v="271"/>
    <x v="2"/>
    <x v="1"/>
    <x v="0"/>
    <x v="0"/>
    <x v="1"/>
    <x v="1"/>
    <x v="0"/>
    <x v="0"/>
    <x v="0"/>
  </r>
  <r>
    <x v="820"/>
    <x v="35"/>
    <x v="38"/>
    <x v="1"/>
    <x v="2"/>
    <x v="0"/>
    <x v="286"/>
    <x v="217"/>
    <x v="209"/>
    <x v="724"/>
    <x v="0"/>
    <x v="1"/>
    <x v="1"/>
    <x v="2"/>
    <x v="43"/>
    <x v="6"/>
    <x v="4"/>
    <x v="1"/>
    <x v="0"/>
    <x v="1"/>
    <x v="0"/>
    <x v="0"/>
    <x v="0"/>
    <x v="0"/>
  </r>
  <r>
    <x v="821"/>
    <x v="37"/>
    <x v="49"/>
    <x v="2"/>
    <x v="1"/>
    <x v="1"/>
    <x v="380"/>
    <x v="583"/>
    <x v="34"/>
    <x v="571"/>
    <x v="0"/>
    <x v="1"/>
    <x v="1"/>
    <x v="1"/>
    <x v="217"/>
    <x v="0"/>
    <x v="1"/>
    <x v="0"/>
    <x v="0"/>
    <x v="1"/>
    <x v="0"/>
    <x v="0"/>
    <x v="1"/>
    <x v="0"/>
  </r>
  <r>
    <x v="822"/>
    <x v="15"/>
    <x v="65"/>
    <x v="2"/>
    <x v="3"/>
    <x v="0"/>
    <x v="218"/>
    <x v="788"/>
    <x v="91"/>
    <x v="668"/>
    <x v="1"/>
    <x v="0"/>
    <x v="0"/>
    <x v="0"/>
    <x v="169"/>
    <x v="1"/>
    <x v="0"/>
    <x v="0"/>
    <x v="0"/>
    <x v="0"/>
    <x v="1"/>
    <x v="0"/>
    <x v="0"/>
    <x v="0"/>
  </r>
  <r>
    <x v="823"/>
    <x v="45"/>
    <x v="70"/>
    <x v="2"/>
    <x v="5"/>
    <x v="1"/>
    <x v="201"/>
    <x v="537"/>
    <x v="162"/>
    <x v="475"/>
    <x v="0"/>
    <x v="1"/>
    <x v="0"/>
    <x v="1"/>
    <x v="145"/>
    <x v="0"/>
    <x v="0"/>
    <x v="1"/>
    <x v="0"/>
    <x v="0"/>
    <x v="0"/>
    <x v="0"/>
    <x v="1"/>
    <x v="1"/>
  </r>
  <r>
    <x v="824"/>
    <x v="34"/>
    <x v="35"/>
    <x v="2"/>
    <x v="5"/>
    <x v="0"/>
    <x v="278"/>
    <x v="564"/>
    <x v="149"/>
    <x v="367"/>
    <x v="1"/>
    <x v="0"/>
    <x v="0"/>
    <x v="0"/>
    <x v="319"/>
    <x v="0"/>
    <x v="2"/>
    <x v="1"/>
    <x v="0"/>
    <x v="0"/>
    <x v="1"/>
    <x v="0"/>
    <x v="0"/>
    <x v="0"/>
  </r>
  <r>
    <x v="825"/>
    <x v="2"/>
    <x v="30"/>
    <x v="0"/>
    <x v="2"/>
    <x v="1"/>
    <x v="13"/>
    <x v="600"/>
    <x v="147"/>
    <x v="125"/>
    <x v="0"/>
    <x v="1"/>
    <x v="0"/>
    <x v="0"/>
    <x v="184"/>
    <x v="0"/>
    <x v="2"/>
    <x v="1"/>
    <x v="0"/>
    <x v="0"/>
    <x v="0"/>
    <x v="0"/>
    <x v="1"/>
    <x v="1"/>
  </r>
  <r>
    <x v="826"/>
    <x v="55"/>
    <x v="14"/>
    <x v="2"/>
    <x v="1"/>
    <x v="0"/>
    <x v="303"/>
    <x v="22"/>
    <x v="254"/>
    <x v="580"/>
    <x v="0"/>
    <x v="1"/>
    <x v="0"/>
    <x v="0"/>
    <x v="38"/>
    <x v="0"/>
    <x v="0"/>
    <x v="0"/>
    <x v="1"/>
    <x v="0"/>
    <x v="0"/>
    <x v="1"/>
    <x v="0"/>
    <x v="0"/>
  </r>
  <r>
    <x v="827"/>
    <x v="49"/>
    <x v="38"/>
    <x v="2"/>
    <x v="3"/>
    <x v="1"/>
    <x v="471"/>
    <x v="531"/>
    <x v="158"/>
    <x v="733"/>
    <x v="0"/>
    <x v="1"/>
    <x v="2"/>
    <x v="3"/>
    <x v="274"/>
    <x v="0"/>
    <x v="1"/>
    <x v="1"/>
    <x v="0"/>
    <x v="1"/>
    <x v="0"/>
    <x v="0"/>
    <x v="1"/>
    <x v="0"/>
  </r>
  <r>
    <x v="828"/>
    <x v="4"/>
    <x v="66"/>
    <x v="1"/>
    <x v="0"/>
    <x v="0"/>
    <x v="213"/>
    <x v="107"/>
    <x v="194"/>
    <x v="799"/>
    <x v="1"/>
    <x v="0"/>
    <x v="1"/>
    <x v="2"/>
    <x v="35"/>
    <x v="2"/>
    <x v="0"/>
    <x v="0"/>
    <x v="0"/>
    <x v="1"/>
    <x v="1"/>
    <x v="0"/>
    <x v="0"/>
    <x v="0"/>
  </r>
  <r>
    <x v="829"/>
    <x v="24"/>
    <x v="35"/>
    <x v="2"/>
    <x v="3"/>
    <x v="0"/>
    <x v="213"/>
    <x v="201"/>
    <x v="94"/>
    <x v="444"/>
    <x v="0"/>
    <x v="1"/>
    <x v="0"/>
    <x v="0"/>
    <x v="0"/>
    <x v="1"/>
    <x v="0"/>
    <x v="0"/>
    <x v="0"/>
    <x v="0"/>
    <x v="0"/>
    <x v="0"/>
    <x v="0"/>
    <x v="0"/>
  </r>
  <r>
    <x v="830"/>
    <x v="43"/>
    <x v="25"/>
    <x v="2"/>
    <x v="1"/>
    <x v="1"/>
    <x v="332"/>
    <x v="801"/>
    <x v="47"/>
    <x v="632"/>
    <x v="0"/>
    <x v="1"/>
    <x v="2"/>
    <x v="3"/>
    <x v="285"/>
    <x v="1"/>
    <x v="0"/>
    <x v="0"/>
    <x v="0"/>
    <x v="1"/>
    <x v="0"/>
    <x v="0"/>
    <x v="1"/>
    <x v="0"/>
  </r>
  <r>
    <x v="831"/>
    <x v="42"/>
    <x v="7"/>
    <x v="1"/>
    <x v="1"/>
    <x v="0"/>
    <x v="428"/>
    <x v="310"/>
    <x v="93"/>
    <x v="820"/>
    <x v="0"/>
    <x v="1"/>
    <x v="0"/>
    <x v="0"/>
    <x v="206"/>
    <x v="0"/>
    <x v="0"/>
    <x v="1"/>
    <x v="1"/>
    <x v="0"/>
    <x v="0"/>
    <x v="0"/>
    <x v="0"/>
    <x v="0"/>
  </r>
  <r>
    <x v="832"/>
    <x v="9"/>
    <x v="28"/>
    <x v="2"/>
    <x v="3"/>
    <x v="0"/>
    <x v="361"/>
    <x v="165"/>
    <x v="165"/>
    <x v="445"/>
    <x v="1"/>
    <x v="0"/>
    <x v="0"/>
    <x v="0"/>
    <x v="241"/>
    <x v="4"/>
    <x v="0"/>
    <x v="1"/>
    <x v="0"/>
    <x v="0"/>
    <x v="1"/>
    <x v="0"/>
    <x v="0"/>
    <x v="0"/>
  </r>
  <r>
    <x v="833"/>
    <x v="2"/>
    <x v="17"/>
    <x v="0"/>
    <x v="5"/>
    <x v="0"/>
    <x v="9"/>
    <x v="691"/>
    <x v="143"/>
    <x v="110"/>
    <x v="0"/>
    <x v="1"/>
    <x v="1"/>
    <x v="1"/>
    <x v="139"/>
    <x v="2"/>
    <x v="0"/>
    <x v="0"/>
    <x v="1"/>
    <x v="1"/>
    <x v="0"/>
    <x v="0"/>
    <x v="0"/>
    <x v="0"/>
  </r>
  <r>
    <x v="834"/>
    <x v="57"/>
    <x v="70"/>
    <x v="0"/>
    <x v="5"/>
    <x v="0"/>
    <x v="307"/>
    <x v="123"/>
    <x v="143"/>
    <x v="337"/>
    <x v="0"/>
    <x v="1"/>
    <x v="0"/>
    <x v="1"/>
    <x v="39"/>
    <x v="0"/>
    <x v="0"/>
    <x v="1"/>
    <x v="0"/>
    <x v="0"/>
    <x v="0"/>
    <x v="0"/>
    <x v="0"/>
    <x v="0"/>
  </r>
  <r>
    <x v="835"/>
    <x v="51"/>
    <x v="37"/>
    <x v="0"/>
    <x v="1"/>
    <x v="0"/>
    <x v="469"/>
    <x v="242"/>
    <x v="100"/>
    <x v="261"/>
    <x v="0"/>
    <x v="1"/>
    <x v="2"/>
    <x v="3"/>
    <x v="60"/>
    <x v="2"/>
    <x v="1"/>
    <x v="2"/>
    <x v="0"/>
    <x v="1"/>
    <x v="0"/>
    <x v="0"/>
    <x v="0"/>
    <x v="0"/>
  </r>
  <r>
    <x v="836"/>
    <x v="42"/>
    <x v="9"/>
    <x v="0"/>
    <x v="5"/>
    <x v="0"/>
    <x v="314"/>
    <x v="709"/>
    <x v="89"/>
    <x v="88"/>
    <x v="0"/>
    <x v="1"/>
    <x v="0"/>
    <x v="2"/>
    <x v="158"/>
    <x v="0"/>
    <x v="0"/>
    <x v="0"/>
    <x v="1"/>
    <x v="0"/>
    <x v="0"/>
    <x v="0"/>
    <x v="0"/>
    <x v="0"/>
  </r>
  <r>
    <x v="837"/>
    <x v="38"/>
    <x v="4"/>
    <x v="2"/>
    <x v="0"/>
    <x v="0"/>
    <x v="81"/>
    <x v="421"/>
    <x v="102"/>
    <x v="434"/>
    <x v="0"/>
    <x v="1"/>
    <x v="0"/>
    <x v="0"/>
    <x v="51"/>
    <x v="0"/>
    <x v="0"/>
    <x v="0"/>
    <x v="2"/>
    <x v="0"/>
    <x v="0"/>
    <x v="0"/>
    <x v="0"/>
    <x v="0"/>
  </r>
  <r>
    <x v="838"/>
    <x v="39"/>
    <x v="61"/>
    <x v="1"/>
    <x v="3"/>
    <x v="1"/>
    <x v="266"/>
    <x v="16"/>
    <x v="166"/>
    <x v="893"/>
    <x v="1"/>
    <x v="0"/>
    <x v="1"/>
    <x v="2"/>
    <x v="224"/>
    <x v="1"/>
    <x v="1"/>
    <x v="1"/>
    <x v="0"/>
    <x v="1"/>
    <x v="1"/>
    <x v="1"/>
    <x v="1"/>
    <x v="1"/>
  </r>
  <r>
    <x v="839"/>
    <x v="26"/>
    <x v="67"/>
    <x v="2"/>
    <x v="1"/>
    <x v="0"/>
    <x v="69"/>
    <x v="555"/>
    <x v="174"/>
    <x v="720"/>
    <x v="0"/>
    <x v="1"/>
    <x v="0"/>
    <x v="0"/>
    <x v="137"/>
    <x v="1"/>
    <x v="0"/>
    <x v="2"/>
    <x v="0"/>
    <x v="0"/>
    <x v="0"/>
    <x v="0"/>
    <x v="0"/>
    <x v="0"/>
  </r>
  <r>
    <x v="840"/>
    <x v="39"/>
    <x v="54"/>
    <x v="0"/>
    <x v="2"/>
    <x v="1"/>
    <x v="392"/>
    <x v="263"/>
    <x v="47"/>
    <x v="28"/>
    <x v="0"/>
    <x v="1"/>
    <x v="1"/>
    <x v="3"/>
    <x v="209"/>
    <x v="0"/>
    <x v="0"/>
    <x v="1"/>
    <x v="0"/>
    <x v="1"/>
    <x v="0"/>
    <x v="0"/>
    <x v="1"/>
    <x v="1"/>
  </r>
  <r>
    <x v="841"/>
    <x v="17"/>
    <x v="8"/>
    <x v="2"/>
    <x v="5"/>
    <x v="0"/>
    <x v="107"/>
    <x v="754"/>
    <x v="168"/>
    <x v="413"/>
    <x v="1"/>
    <x v="0"/>
    <x v="0"/>
    <x v="1"/>
    <x v="206"/>
    <x v="0"/>
    <x v="1"/>
    <x v="0"/>
    <x v="1"/>
    <x v="0"/>
    <x v="1"/>
    <x v="0"/>
    <x v="0"/>
    <x v="0"/>
  </r>
  <r>
    <x v="842"/>
    <x v="4"/>
    <x v="7"/>
    <x v="0"/>
    <x v="1"/>
    <x v="1"/>
    <x v="239"/>
    <x v="196"/>
    <x v="69"/>
    <x v="109"/>
    <x v="1"/>
    <x v="0"/>
    <x v="1"/>
    <x v="2"/>
    <x v="231"/>
    <x v="1"/>
    <x v="0"/>
    <x v="0"/>
    <x v="1"/>
    <x v="1"/>
    <x v="1"/>
    <x v="0"/>
    <x v="1"/>
    <x v="1"/>
  </r>
  <r>
    <x v="843"/>
    <x v="18"/>
    <x v="14"/>
    <x v="1"/>
    <x v="3"/>
    <x v="1"/>
    <x v="118"/>
    <x v="670"/>
    <x v="148"/>
    <x v="971"/>
    <x v="1"/>
    <x v="0"/>
    <x v="2"/>
    <x v="3"/>
    <x v="244"/>
    <x v="1"/>
    <x v="2"/>
    <x v="1"/>
    <x v="1"/>
    <x v="1"/>
    <x v="1"/>
    <x v="0"/>
    <x v="1"/>
    <x v="1"/>
  </r>
  <r>
    <x v="844"/>
    <x v="17"/>
    <x v="54"/>
    <x v="0"/>
    <x v="2"/>
    <x v="1"/>
    <x v="156"/>
    <x v="780"/>
    <x v="102"/>
    <x v="140"/>
    <x v="0"/>
    <x v="1"/>
    <x v="2"/>
    <x v="2"/>
    <x v="150"/>
    <x v="1"/>
    <x v="0"/>
    <x v="1"/>
    <x v="0"/>
    <x v="1"/>
    <x v="0"/>
    <x v="0"/>
    <x v="1"/>
    <x v="1"/>
  </r>
  <r>
    <x v="845"/>
    <x v="17"/>
    <x v="55"/>
    <x v="2"/>
    <x v="0"/>
    <x v="0"/>
    <x v="414"/>
    <x v="137"/>
    <x v="223"/>
    <x v="349"/>
    <x v="0"/>
    <x v="1"/>
    <x v="1"/>
    <x v="2"/>
    <x v="209"/>
    <x v="1"/>
    <x v="3"/>
    <x v="0"/>
    <x v="0"/>
    <x v="1"/>
    <x v="0"/>
    <x v="0"/>
    <x v="0"/>
    <x v="0"/>
  </r>
  <r>
    <x v="846"/>
    <x v="27"/>
    <x v="60"/>
    <x v="0"/>
    <x v="3"/>
    <x v="0"/>
    <x v="243"/>
    <x v="383"/>
    <x v="86"/>
    <x v="96"/>
    <x v="0"/>
    <x v="1"/>
    <x v="0"/>
    <x v="1"/>
    <x v="215"/>
    <x v="1"/>
    <x v="2"/>
    <x v="2"/>
    <x v="0"/>
    <x v="0"/>
    <x v="0"/>
    <x v="1"/>
    <x v="0"/>
    <x v="0"/>
  </r>
  <r>
    <x v="847"/>
    <x v="7"/>
    <x v="6"/>
    <x v="2"/>
    <x v="5"/>
    <x v="0"/>
    <x v="154"/>
    <x v="513"/>
    <x v="128"/>
    <x v="678"/>
    <x v="2"/>
    <x v="0"/>
    <x v="1"/>
    <x v="1"/>
    <x v="0"/>
    <x v="4"/>
    <x v="2"/>
    <x v="0"/>
    <x v="1"/>
    <x v="1"/>
    <x v="1"/>
    <x v="0"/>
    <x v="0"/>
    <x v="0"/>
  </r>
  <r>
    <x v="848"/>
    <x v="23"/>
    <x v="11"/>
    <x v="2"/>
    <x v="2"/>
    <x v="0"/>
    <x v="82"/>
    <x v="135"/>
    <x v="157"/>
    <x v="527"/>
    <x v="0"/>
    <x v="1"/>
    <x v="0"/>
    <x v="0"/>
    <x v="259"/>
    <x v="1"/>
    <x v="0"/>
    <x v="0"/>
    <x v="1"/>
    <x v="0"/>
    <x v="0"/>
    <x v="0"/>
    <x v="0"/>
    <x v="0"/>
  </r>
  <r>
    <x v="849"/>
    <x v="26"/>
    <x v="64"/>
    <x v="1"/>
    <x v="0"/>
    <x v="0"/>
    <x v="20"/>
    <x v="491"/>
    <x v="54"/>
    <x v="964"/>
    <x v="0"/>
    <x v="1"/>
    <x v="1"/>
    <x v="2"/>
    <x v="205"/>
    <x v="0"/>
    <x v="0"/>
    <x v="0"/>
    <x v="0"/>
    <x v="1"/>
    <x v="0"/>
    <x v="0"/>
    <x v="0"/>
    <x v="0"/>
  </r>
  <r>
    <x v="850"/>
    <x v="10"/>
    <x v="66"/>
    <x v="0"/>
    <x v="2"/>
    <x v="1"/>
    <x v="72"/>
    <x v="322"/>
    <x v="110"/>
    <x v="224"/>
    <x v="0"/>
    <x v="1"/>
    <x v="3"/>
    <x v="4"/>
    <x v="251"/>
    <x v="2"/>
    <x v="1"/>
    <x v="1"/>
    <x v="0"/>
    <x v="1"/>
    <x v="0"/>
    <x v="0"/>
    <x v="1"/>
    <x v="1"/>
  </r>
  <r>
    <x v="851"/>
    <x v="26"/>
    <x v="52"/>
    <x v="1"/>
    <x v="2"/>
    <x v="0"/>
    <x v="244"/>
    <x v="313"/>
    <x v="96"/>
    <x v="861"/>
    <x v="1"/>
    <x v="0"/>
    <x v="0"/>
    <x v="0"/>
    <x v="184"/>
    <x v="5"/>
    <x v="0"/>
    <x v="0"/>
    <x v="0"/>
    <x v="0"/>
    <x v="1"/>
    <x v="0"/>
    <x v="0"/>
    <x v="0"/>
  </r>
  <r>
    <x v="852"/>
    <x v="39"/>
    <x v="7"/>
    <x v="2"/>
    <x v="0"/>
    <x v="0"/>
    <x v="362"/>
    <x v="423"/>
    <x v="79"/>
    <x v="719"/>
    <x v="0"/>
    <x v="1"/>
    <x v="1"/>
    <x v="1"/>
    <x v="153"/>
    <x v="3"/>
    <x v="1"/>
    <x v="1"/>
    <x v="1"/>
    <x v="1"/>
    <x v="0"/>
    <x v="0"/>
    <x v="0"/>
    <x v="0"/>
  </r>
  <r>
    <x v="853"/>
    <x v="23"/>
    <x v="4"/>
    <x v="1"/>
    <x v="0"/>
    <x v="0"/>
    <x v="154"/>
    <x v="428"/>
    <x v="84"/>
    <x v="907"/>
    <x v="2"/>
    <x v="0"/>
    <x v="1"/>
    <x v="2"/>
    <x v="69"/>
    <x v="0"/>
    <x v="0"/>
    <x v="1"/>
    <x v="2"/>
    <x v="1"/>
    <x v="1"/>
    <x v="0"/>
    <x v="0"/>
    <x v="0"/>
  </r>
  <r>
    <x v="854"/>
    <x v="0"/>
    <x v="4"/>
    <x v="1"/>
    <x v="3"/>
    <x v="1"/>
    <x v="422"/>
    <x v="459"/>
    <x v="193"/>
    <x v="785"/>
    <x v="0"/>
    <x v="1"/>
    <x v="0"/>
    <x v="0"/>
    <x v="268"/>
    <x v="1"/>
    <x v="1"/>
    <x v="0"/>
    <x v="2"/>
    <x v="0"/>
    <x v="0"/>
    <x v="0"/>
    <x v="1"/>
    <x v="1"/>
  </r>
  <r>
    <x v="855"/>
    <x v="40"/>
    <x v="49"/>
    <x v="1"/>
    <x v="1"/>
    <x v="0"/>
    <x v="134"/>
    <x v="198"/>
    <x v="73"/>
    <x v="782"/>
    <x v="1"/>
    <x v="0"/>
    <x v="0"/>
    <x v="0"/>
    <x v="184"/>
    <x v="1"/>
    <x v="0"/>
    <x v="0"/>
    <x v="0"/>
    <x v="0"/>
    <x v="1"/>
    <x v="0"/>
    <x v="0"/>
    <x v="0"/>
  </r>
  <r>
    <x v="856"/>
    <x v="33"/>
    <x v="60"/>
    <x v="0"/>
    <x v="5"/>
    <x v="0"/>
    <x v="195"/>
    <x v="383"/>
    <x v="155"/>
    <x v="283"/>
    <x v="0"/>
    <x v="1"/>
    <x v="1"/>
    <x v="1"/>
    <x v="82"/>
    <x v="1"/>
    <x v="0"/>
    <x v="0"/>
    <x v="0"/>
    <x v="1"/>
    <x v="0"/>
    <x v="1"/>
    <x v="0"/>
    <x v="0"/>
  </r>
  <r>
    <x v="857"/>
    <x v="24"/>
    <x v="45"/>
    <x v="0"/>
    <x v="0"/>
    <x v="0"/>
    <x v="91"/>
    <x v="359"/>
    <x v="137"/>
    <x v="289"/>
    <x v="0"/>
    <x v="1"/>
    <x v="1"/>
    <x v="4"/>
    <x v="247"/>
    <x v="1"/>
    <x v="0"/>
    <x v="1"/>
    <x v="0"/>
    <x v="1"/>
    <x v="0"/>
    <x v="0"/>
    <x v="0"/>
    <x v="0"/>
  </r>
  <r>
    <x v="858"/>
    <x v="1"/>
    <x v="18"/>
    <x v="0"/>
    <x v="3"/>
    <x v="0"/>
    <x v="364"/>
    <x v="388"/>
    <x v="20"/>
    <x v="403"/>
    <x v="1"/>
    <x v="0"/>
    <x v="0"/>
    <x v="2"/>
    <x v="117"/>
    <x v="1"/>
    <x v="2"/>
    <x v="0"/>
    <x v="1"/>
    <x v="0"/>
    <x v="1"/>
    <x v="0"/>
    <x v="0"/>
    <x v="0"/>
  </r>
  <r>
    <x v="859"/>
    <x v="5"/>
    <x v="54"/>
    <x v="0"/>
    <x v="1"/>
    <x v="1"/>
    <x v="457"/>
    <x v="246"/>
    <x v="151"/>
    <x v="233"/>
    <x v="1"/>
    <x v="0"/>
    <x v="1"/>
    <x v="1"/>
    <x v="82"/>
    <x v="3"/>
    <x v="1"/>
    <x v="0"/>
    <x v="0"/>
    <x v="1"/>
    <x v="1"/>
    <x v="0"/>
    <x v="1"/>
    <x v="1"/>
  </r>
  <r>
    <x v="860"/>
    <x v="4"/>
    <x v="4"/>
    <x v="2"/>
    <x v="5"/>
    <x v="1"/>
    <x v="31"/>
    <x v="383"/>
    <x v="19"/>
    <x v="553"/>
    <x v="1"/>
    <x v="0"/>
    <x v="0"/>
    <x v="0"/>
    <x v="285"/>
    <x v="2"/>
    <x v="0"/>
    <x v="0"/>
    <x v="2"/>
    <x v="0"/>
    <x v="1"/>
    <x v="1"/>
    <x v="1"/>
    <x v="1"/>
  </r>
  <r>
    <x v="861"/>
    <x v="49"/>
    <x v="59"/>
    <x v="1"/>
    <x v="5"/>
    <x v="1"/>
    <x v="180"/>
    <x v="0"/>
    <x v="159"/>
    <x v="836"/>
    <x v="1"/>
    <x v="0"/>
    <x v="2"/>
    <x v="4"/>
    <x v="288"/>
    <x v="1"/>
    <x v="1"/>
    <x v="0"/>
    <x v="0"/>
    <x v="1"/>
    <x v="1"/>
    <x v="1"/>
    <x v="1"/>
    <x v="1"/>
  </r>
  <r>
    <x v="862"/>
    <x v="17"/>
    <x v="64"/>
    <x v="1"/>
    <x v="5"/>
    <x v="1"/>
    <x v="395"/>
    <x v="167"/>
    <x v="79"/>
    <x v="961"/>
    <x v="0"/>
    <x v="1"/>
    <x v="1"/>
    <x v="1"/>
    <x v="266"/>
    <x v="0"/>
    <x v="0"/>
    <x v="0"/>
    <x v="0"/>
    <x v="1"/>
    <x v="0"/>
    <x v="0"/>
    <x v="1"/>
    <x v="1"/>
  </r>
  <r>
    <x v="863"/>
    <x v="24"/>
    <x v="51"/>
    <x v="2"/>
    <x v="1"/>
    <x v="1"/>
    <x v="53"/>
    <x v="300"/>
    <x v="116"/>
    <x v="278"/>
    <x v="1"/>
    <x v="0"/>
    <x v="0"/>
    <x v="0"/>
    <x v="280"/>
    <x v="2"/>
    <x v="0"/>
    <x v="0"/>
    <x v="0"/>
    <x v="0"/>
    <x v="1"/>
    <x v="0"/>
    <x v="1"/>
    <x v="1"/>
  </r>
  <r>
    <x v="864"/>
    <x v="40"/>
    <x v="63"/>
    <x v="2"/>
    <x v="2"/>
    <x v="1"/>
    <x v="307"/>
    <x v="136"/>
    <x v="26"/>
    <x v="568"/>
    <x v="0"/>
    <x v="1"/>
    <x v="0"/>
    <x v="3"/>
    <x v="163"/>
    <x v="2"/>
    <x v="1"/>
    <x v="1"/>
    <x v="0"/>
    <x v="0"/>
    <x v="0"/>
    <x v="0"/>
    <x v="1"/>
    <x v="1"/>
  </r>
  <r>
    <x v="865"/>
    <x v="38"/>
    <x v="42"/>
    <x v="1"/>
    <x v="0"/>
    <x v="0"/>
    <x v="390"/>
    <x v="765"/>
    <x v="124"/>
    <x v="762"/>
    <x v="1"/>
    <x v="0"/>
    <x v="0"/>
    <x v="1"/>
    <x v="166"/>
    <x v="0"/>
    <x v="0"/>
    <x v="0"/>
    <x v="0"/>
    <x v="0"/>
    <x v="1"/>
    <x v="0"/>
    <x v="0"/>
    <x v="0"/>
  </r>
  <r>
    <x v="866"/>
    <x v="3"/>
    <x v="33"/>
    <x v="1"/>
    <x v="0"/>
    <x v="0"/>
    <x v="240"/>
    <x v="410"/>
    <x v="180"/>
    <x v="912"/>
    <x v="1"/>
    <x v="0"/>
    <x v="0"/>
    <x v="0"/>
    <x v="115"/>
    <x v="3"/>
    <x v="1"/>
    <x v="0"/>
    <x v="0"/>
    <x v="0"/>
    <x v="1"/>
    <x v="0"/>
    <x v="0"/>
    <x v="0"/>
  </r>
  <r>
    <x v="867"/>
    <x v="53"/>
    <x v="23"/>
    <x v="0"/>
    <x v="5"/>
    <x v="0"/>
    <x v="305"/>
    <x v="462"/>
    <x v="59"/>
    <x v="187"/>
    <x v="1"/>
    <x v="0"/>
    <x v="0"/>
    <x v="1"/>
    <x v="207"/>
    <x v="1"/>
    <x v="0"/>
    <x v="1"/>
    <x v="1"/>
    <x v="0"/>
    <x v="1"/>
    <x v="0"/>
    <x v="0"/>
    <x v="0"/>
  </r>
  <r>
    <x v="868"/>
    <x v="15"/>
    <x v="66"/>
    <x v="2"/>
    <x v="2"/>
    <x v="0"/>
    <x v="437"/>
    <x v="229"/>
    <x v="72"/>
    <x v="512"/>
    <x v="0"/>
    <x v="1"/>
    <x v="1"/>
    <x v="1"/>
    <x v="129"/>
    <x v="1"/>
    <x v="2"/>
    <x v="0"/>
    <x v="0"/>
    <x v="1"/>
    <x v="0"/>
    <x v="0"/>
    <x v="0"/>
    <x v="0"/>
  </r>
  <r>
    <x v="869"/>
    <x v="44"/>
    <x v="50"/>
    <x v="1"/>
    <x v="3"/>
    <x v="0"/>
    <x v="447"/>
    <x v="398"/>
    <x v="147"/>
    <x v="952"/>
    <x v="1"/>
    <x v="0"/>
    <x v="1"/>
    <x v="1"/>
    <x v="140"/>
    <x v="3"/>
    <x v="0"/>
    <x v="0"/>
    <x v="0"/>
    <x v="1"/>
    <x v="1"/>
    <x v="0"/>
    <x v="0"/>
    <x v="0"/>
  </r>
  <r>
    <x v="870"/>
    <x v="48"/>
    <x v="13"/>
    <x v="0"/>
    <x v="5"/>
    <x v="0"/>
    <x v="221"/>
    <x v="64"/>
    <x v="149"/>
    <x v="142"/>
    <x v="0"/>
    <x v="1"/>
    <x v="0"/>
    <x v="0"/>
    <x v="184"/>
    <x v="0"/>
    <x v="0"/>
    <x v="0"/>
    <x v="1"/>
    <x v="0"/>
    <x v="0"/>
    <x v="0"/>
    <x v="0"/>
    <x v="0"/>
  </r>
  <r>
    <x v="871"/>
    <x v="31"/>
    <x v="68"/>
    <x v="2"/>
    <x v="2"/>
    <x v="0"/>
    <x v="158"/>
    <x v="343"/>
    <x v="0"/>
    <x v="425"/>
    <x v="0"/>
    <x v="1"/>
    <x v="2"/>
    <x v="3"/>
    <x v="308"/>
    <x v="1"/>
    <x v="0"/>
    <x v="0"/>
    <x v="0"/>
    <x v="1"/>
    <x v="0"/>
    <x v="0"/>
    <x v="0"/>
    <x v="0"/>
  </r>
  <r>
    <x v="872"/>
    <x v="9"/>
    <x v="4"/>
    <x v="1"/>
    <x v="0"/>
    <x v="0"/>
    <x v="110"/>
    <x v="125"/>
    <x v="239"/>
    <x v="664"/>
    <x v="0"/>
    <x v="1"/>
    <x v="0"/>
    <x v="0"/>
    <x v="233"/>
    <x v="0"/>
    <x v="2"/>
    <x v="0"/>
    <x v="2"/>
    <x v="0"/>
    <x v="0"/>
    <x v="0"/>
    <x v="0"/>
    <x v="0"/>
  </r>
  <r>
    <x v="873"/>
    <x v="31"/>
    <x v="42"/>
    <x v="1"/>
    <x v="3"/>
    <x v="0"/>
    <x v="362"/>
    <x v="301"/>
    <x v="152"/>
    <x v="889"/>
    <x v="0"/>
    <x v="1"/>
    <x v="0"/>
    <x v="0"/>
    <x v="346"/>
    <x v="0"/>
    <x v="1"/>
    <x v="1"/>
    <x v="0"/>
    <x v="0"/>
    <x v="0"/>
    <x v="0"/>
    <x v="0"/>
    <x v="0"/>
  </r>
  <r>
    <x v="874"/>
    <x v="14"/>
    <x v="13"/>
    <x v="1"/>
    <x v="5"/>
    <x v="0"/>
    <x v="61"/>
    <x v="0"/>
    <x v="164"/>
    <x v="929"/>
    <x v="0"/>
    <x v="1"/>
    <x v="1"/>
    <x v="1"/>
    <x v="108"/>
    <x v="1"/>
    <x v="0"/>
    <x v="1"/>
    <x v="1"/>
    <x v="1"/>
    <x v="0"/>
    <x v="1"/>
    <x v="0"/>
    <x v="0"/>
  </r>
  <r>
    <x v="875"/>
    <x v="49"/>
    <x v="47"/>
    <x v="1"/>
    <x v="0"/>
    <x v="0"/>
    <x v="193"/>
    <x v="80"/>
    <x v="105"/>
    <x v="722"/>
    <x v="1"/>
    <x v="0"/>
    <x v="0"/>
    <x v="0"/>
    <x v="4"/>
    <x v="1"/>
    <x v="1"/>
    <x v="0"/>
    <x v="0"/>
    <x v="0"/>
    <x v="1"/>
    <x v="0"/>
    <x v="0"/>
    <x v="0"/>
  </r>
  <r>
    <x v="876"/>
    <x v="43"/>
    <x v="29"/>
    <x v="0"/>
    <x v="3"/>
    <x v="0"/>
    <x v="242"/>
    <x v="743"/>
    <x v="0"/>
    <x v="192"/>
    <x v="0"/>
    <x v="1"/>
    <x v="1"/>
    <x v="2"/>
    <x v="265"/>
    <x v="1"/>
    <x v="0"/>
    <x v="0"/>
    <x v="0"/>
    <x v="1"/>
    <x v="0"/>
    <x v="0"/>
    <x v="0"/>
    <x v="0"/>
  </r>
  <r>
    <x v="877"/>
    <x v="47"/>
    <x v="31"/>
    <x v="0"/>
    <x v="3"/>
    <x v="0"/>
    <x v="163"/>
    <x v="632"/>
    <x v="162"/>
    <x v="265"/>
    <x v="0"/>
    <x v="1"/>
    <x v="0"/>
    <x v="0"/>
    <x v="100"/>
    <x v="2"/>
    <x v="1"/>
    <x v="0"/>
    <x v="0"/>
    <x v="0"/>
    <x v="0"/>
    <x v="0"/>
    <x v="0"/>
    <x v="0"/>
  </r>
  <r>
    <x v="878"/>
    <x v="48"/>
    <x v="48"/>
    <x v="2"/>
    <x v="1"/>
    <x v="1"/>
    <x v="266"/>
    <x v="721"/>
    <x v="75"/>
    <x v="392"/>
    <x v="0"/>
    <x v="1"/>
    <x v="3"/>
    <x v="5"/>
    <x v="158"/>
    <x v="1"/>
    <x v="0"/>
    <x v="1"/>
    <x v="0"/>
    <x v="1"/>
    <x v="0"/>
    <x v="0"/>
    <x v="1"/>
    <x v="1"/>
  </r>
  <r>
    <x v="879"/>
    <x v="10"/>
    <x v="54"/>
    <x v="2"/>
    <x v="1"/>
    <x v="1"/>
    <x v="468"/>
    <x v="731"/>
    <x v="153"/>
    <x v="438"/>
    <x v="0"/>
    <x v="1"/>
    <x v="0"/>
    <x v="0"/>
    <x v="9"/>
    <x v="1"/>
    <x v="0"/>
    <x v="1"/>
    <x v="0"/>
    <x v="0"/>
    <x v="0"/>
    <x v="0"/>
    <x v="1"/>
    <x v="1"/>
  </r>
  <r>
    <x v="880"/>
    <x v="1"/>
    <x v="27"/>
    <x v="2"/>
    <x v="3"/>
    <x v="1"/>
    <x v="213"/>
    <x v="383"/>
    <x v="100"/>
    <x v="659"/>
    <x v="2"/>
    <x v="0"/>
    <x v="0"/>
    <x v="0"/>
    <x v="85"/>
    <x v="0"/>
    <x v="0"/>
    <x v="0"/>
    <x v="0"/>
    <x v="0"/>
    <x v="1"/>
    <x v="1"/>
    <x v="1"/>
    <x v="1"/>
  </r>
  <r>
    <x v="881"/>
    <x v="36"/>
    <x v="71"/>
    <x v="2"/>
    <x v="1"/>
    <x v="0"/>
    <x v="171"/>
    <x v="239"/>
    <x v="132"/>
    <x v="598"/>
    <x v="1"/>
    <x v="0"/>
    <x v="0"/>
    <x v="0"/>
    <x v="184"/>
    <x v="1"/>
    <x v="0"/>
    <x v="0"/>
    <x v="0"/>
    <x v="0"/>
    <x v="1"/>
    <x v="0"/>
    <x v="0"/>
    <x v="0"/>
  </r>
  <r>
    <x v="882"/>
    <x v="35"/>
    <x v="35"/>
    <x v="2"/>
    <x v="0"/>
    <x v="0"/>
    <x v="367"/>
    <x v="101"/>
    <x v="61"/>
    <x v="608"/>
    <x v="0"/>
    <x v="1"/>
    <x v="0"/>
    <x v="1"/>
    <x v="140"/>
    <x v="1"/>
    <x v="0"/>
    <x v="1"/>
    <x v="0"/>
    <x v="0"/>
    <x v="0"/>
    <x v="0"/>
    <x v="0"/>
    <x v="0"/>
  </r>
  <r>
    <x v="883"/>
    <x v="50"/>
    <x v="11"/>
    <x v="2"/>
    <x v="1"/>
    <x v="0"/>
    <x v="262"/>
    <x v="689"/>
    <x v="176"/>
    <x v="338"/>
    <x v="1"/>
    <x v="0"/>
    <x v="2"/>
    <x v="2"/>
    <x v="145"/>
    <x v="1"/>
    <x v="0"/>
    <x v="1"/>
    <x v="1"/>
    <x v="1"/>
    <x v="1"/>
    <x v="0"/>
    <x v="0"/>
    <x v="0"/>
  </r>
  <r>
    <x v="884"/>
    <x v="36"/>
    <x v="0"/>
    <x v="0"/>
    <x v="2"/>
    <x v="1"/>
    <x v="410"/>
    <x v="427"/>
    <x v="34"/>
    <x v="171"/>
    <x v="0"/>
    <x v="1"/>
    <x v="0"/>
    <x v="0"/>
    <x v="198"/>
    <x v="2"/>
    <x v="0"/>
    <x v="0"/>
    <x v="2"/>
    <x v="0"/>
    <x v="0"/>
    <x v="0"/>
    <x v="1"/>
    <x v="1"/>
  </r>
  <r>
    <x v="885"/>
    <x v="46"/>
    <x v="14"/>
    <x v="0"/>
    <x v="3"/>
    <x v="0"/>
    <x v="252"/>
    <x v="806"/>
    <x v="249"/>
    <x v="162"/>
    <x v="1"/>
    <x v="0"/>
    <x v="0"/>
    <x v="0"/>
    <x v="313"/>
    <x v="4"/>
    <x v="2"/>
    <x v="1"/>
    <x v="1"/>
    <x v="0"/>
    <x v="1"/>
    <x v="0"/>
    <x v="0"/>
    <x v="0"/>
  </r>
  <r>
    <x v="886"/>
    <x v="20"/>
    <x v="49"/>
    <x v="0"/>
    <x v="3"/>
    <x v="1"/>
    <x v="194"/>
    <x v="274"/>
    <x v="249"/>
    <x v="10"/>
    <x v="0"/>
    <x v="1"/>
    <x v="0"/>
    <x v="0"/>
    <x v="262"/>
    <x v="2"/>
    <x v="1"/>
    <x v="1"/>
    <x v="0"/>
    <x v="0"/>
    <x v="0"/>
    <x v="0"/>
    <x v="1"/>
    <x v="1"/>
  </r>
  <r>
    <x v="887"/>
    <x v="7"/>
    <x v="38"/>
    <x v="0"/>
    <x v="2"/>
    <x v="0"/>
    <x v="28"/>
    <x v="796"/>
    <x v="226"/>
    <x v="112"/>
    <x v="0"/>
    <x v="1"/>
    <x v="1"/>
    <x v="2"/>
    <x v="20"/>
    <x v="4"/>
    <x v="0"/>
    <x v="1"/>
    <x v="0"/>
    <x v="1"/>
    <x v="0"/>
    <x v="0"/>
    <x v="0"/>
    <x v="0"/>
  </r>
  <r>
    <x v="888"/>
    <x v="2"/>
    <x v="24"/>
    <x v="1"/>
    <x v="2"/>
    <x v="0"/>
    <x v="40"/>
    <x v="347"/>
    <x v="204"/>
    <x v="955"/>
    <x v="1"/>
    <x v="0"/>
    <x v="1"/>
    <x v="2"/>
    <x v="255"/>
    <x v="1"/>
    <x v="0"/>
    <x v="1"/>
    <x v="0"/>
    <x v="1"/>
    <x v="1"/>
    <x v="0"/>
    <x v="0"/>
    <x v="0"/>
  </r>
  <r>
    <x v="889"/>
    <x v="25"/>
    <x v="34"/>
    <x v="2"/>
    <x v="5"/>
    <x v="1"/>
    <x v="25"/>
    <x v="722"/>
    <x v="109"/>
    <x v="399"/>
    <x v="1"/>
    <x v="0"/>
    <x v="0"/>
    <x v="0"/>
    <x v="200"/>
    <x v="2"/>
    <x v="0"/>
    <x v="1"/>
    <x v="0"/>
    <x v="0"/>
    <x v="1"/>
    <x v="0"/>
    <x v="1"/>
    <x v="0"/>
  </r>
  <r>
    <x v="890"/>
    <x v="0"/>
    <x v="60"/>
    <x v="0"/>
    <x v="3"/>
    <x v="0"/>
    <x v="279"/>
    <x v="772"/>
    <x v="197"/>
    <x v="135"/>
    <x v="1"/>
    <x v="0"/>
    <x v="1"/>
    <x v="1"/>
    <x v="176"/>
    <x v="2"/>
    <x v="0"/>
    <x v="2"/>
    <x v="0"/>
    <x v="1"/>
    <x v="1"/>
    <x v="0"/>
    <x v="0"/>
    <x v="0"/>
  </r>
  <r>
    <x v="891"/>
    <x v="30"/>
    <x v="41"/>
    <x v="1"/>
    <x v="0"/>
    <x v="1"/>
    <x v="62"/>
    <x v="106"/>
    <x v="108"/>
    <x v="943"/>
    <x v="0"/>
    <x v="1"/>
    <x v="0"/>
    <x v="0"/>
    <x v="184"/>
    <x v="3"/>
    <x v="1"/>
    <x v="0"/>
    <x v="0"/>
    <x v="0"/>
    <x v="0"/>
    <x v="0"/>
    <x v="1"/>
    <x v="1"/>
  </r>
  <r>
    <x v="892"/>
    <x v="23"/>
    <x v="4"/>
    <x v="2"/>
    <x v="3"/>
    <x v="1"/>
    <x v="394"/>
    <x v="228"/>
    <x v="9"/>
    <x v="520"/>
    <x v="0"/>
    <x v="1"/>
    <x v="1"/>
    <x v="1"/>
    <x v="212"/>
    <x v="0"/>
    <x v="1"/>
    <x v="0"/>
    <x v="2"/>
    <x v="1"/>
    <x v="0"/>
    <x v="0"/>
    <x v="1"/>
    <x v="1"/>
  </r>
  <r>
    <x v="893"/>
    <x v="14"/>
    <x v="3"/>
    <x v="0"/>
    <x v="2"/>
    <x v="0"/>
    <x v="233"/>
    <x v="103"/>
    <x v="219"/>
    <x v="17"/>
    <x v="1"/>
    <x v="0"/>
    <x v="0"/>
    <x v="0"/>
    <x v="110"/>
    <x v="0"/>
    <x v="0"/>
    <x v="1"/>
    <x v="2"/>
    <x v="0"/>
    <x v="1"/>
    <x v="0"/>
    <x v="0"/>
    <x v="0"/>
  </r>
  <r>
    <x v="894"/>
    <x v="34"/>
    <x v="34"/>
    <x v="0"/>
    <x v="5"/>
    <x v="1"/>
    <x v="194"/>
    <x v="62"/>
    <x v="194"/>
    <x v="120"/>
    <x v="0"/>
    <x v="1"/>
    <x v="0"/>
    <x v="0"/>
    <x v="169"/>
    <x v="1"/>
    <x v="0"/>
    <x v="0"/>
    <x v="0"/>
    <x v="0"/>
    <x v="0"/>
    <x v="0"/>
    <x v="1"/>
    <x v="0"/>
  </r>
  <r>
    <x v="895"/>
    <x v="39"/>
    <x v="29"/>
    <x v="0"/>
    <x v="0"/>
    <x v="1"/>
    <x v="120"/>
    <x v="598"/>
    <x v="113"/>
    <x v="259"/>
    <x v="0"/>
    <x v="1"/>
    <x v="0"/>
    <x v="1"/>
    <x v="308"/>
    <x v="2"/>
    <x v="0"/>
    <x v="0"/>
    <x v="0"/>
    <x v="0"/>
    <x v="0"/>
    <x v="0"/>
    <x v="1"/>
    <x v="0"/>
  </r>
  <r>
    <x v="896"/>
    <x v="2"/>
    <x v="61"/>
    <x v="2"/>
    <x v="3"/>
    <x v="1"/>
    <x v="314"/>
    <x v="332"/>
    <x v="31"/>
    <x v="496"/>
    <x v="0"/>
    <x v="1"/>
    <x v="1"/>
    <x v="1"/>
    <x v="109"/>
    <x v="2"/>
    <x v="0"/>
    <x v="0"/>
    <x v="0"/>
    <x v="1"/>
    <x v="0"/>
    <x v="0"/>
    <x v="1"/>
    <x v="1"/>
  </r>
  <r>
    <x v="897"/>
    <x v="27"/>
    <x v="41"/>
    <x v="0"/>
    <x v="3"/>
    <x v="1"/>
    <x v="125"/>
    <x v="383"/>
    <x v="74"/>
    <x v="268"/>
    <x v="2"/>
    <x v="0"/>
    <x v="2"/>
    <x v="2"/>
    <x v="74"/>
    <x v="1"/>
    <x v="1"/>
    <x v="0"/>
    <x v="0"/>
    <x v="1"/>
    <x v="1"/>
    <x v="1"/>
    <x v="1"/>
    <x v="1"/>
  </r>
  <r>
    <x v="898"/>
    <x v="54"/>
    <x v="54"/>
    <x v="0"/>
    <x v="2"/>
    <x v="0"/>
    <x v="102"/>
    <x v="560"/>
    <x v="0"/>
    <x v="22"/>
    <x v="1"/>
    <x v="0"/>
    <x v="0"/>
    <x v="0"/>
    <x v="181"/>
    <x v="2"/>
    <x v="2"/>
    <x v="0"/>
    <x v="0"/>
    <x v="0"/>
    <x v="1"/>
    <x v="0"/>
    <x v="0"/>
    <x v="0"/>
  </r>
  <r>
    <x v="899"/>
    <x v="17"/>
    <x v="42"/>
    <x v="0"/>
    <x v="1"/>
    <x v="1"/>
    <x v="386"/>
    <x v="0"/>
    <x v="181"/>
    <x v="137"/>
    <x v="1"/>
    <x v="0"/>
    <x v="0"/>
    <x v="0"/>
    <x v="64"/>
    <x v="1"/>
    <x v="1"/>
    <x v="0"/>
    <x v="0"/>
    <x v="0"/>
    <x v="1"/>
    <x v="1"/>
    <x v="1"/>
    <x v="0"/>
  </r>
  <r>
    <x v="900"/>
    <x v="45"/>
    <x v="24"/>
    <x v="2"/>
    <x v="1"/>
    <x v="0"/>
    <x v="275"/>
    <x v="717"/>
    <x v="8"/>
    <x v="395"/>
    <x v="0"/>
    <x v="1"/>
    <x v="0"/>
    <x v="0"/>
    <x v="12"/>
    <x v="0"/>
    <x v="0"/>
    <x v="0"/>
    <x v="0"/>
    <x v="0"/>
    <x v="0"/>
    <x v="0"/>
    <x v="0"/>
    <x v="0"/>
  </r>
  <r>
    <x v="901"/>
    <x v="19"/>
    <x v="47"/>
    <x v="0"/>
    <x v="3"/>
    <x v="0"/>
    <x v="196"/>
    <x v="280"/>
    <x v="135"/>
    <x v="195"/>
    <x v="0"/>
    <x v="1"/>
    <x v="0"/>
    <x v="0"/>
    <x v="150"/>
    <x v="2"/>
    <x v="0"/>
    <x v="1"/>
    <x v="0"/>
    <x v="0"/>
    <x v="0"/>
    <x v="0"/>
    <x v="0"/>
    <x v="0"/>
  </r>
  <r>
    <x v="902"/>
    <x v="15"/>
    <x v="44"/>
    <x v="1"/>
    <x v="2"/>
    <x v="0"/>
    <x v="317"/>
    <x v="552"/>
    <x v="56"/>
    <x v="914"/>
    <x v="0"/>
    <x v="1"/>
    <x v="1"/>
    <x v="2"/>
    <x v="329"/>
    <x v="2"/>
    <x v="1"/>
    <x v="1"/>
    <x v="0"/>
    <x v="1"/>
    <x v="0"/>
    <x v="0"/>
    <x v="0"/>
    <x v="0"/>
  </r>
  <r>
    <x v="903"/>
    <x v="49"/>
    <x v="51"/>
    <x v="0"/>
    <x v="1"/>
    <x v="0"/>
    <x v="229"/>
    <x v="585"/>
    <x v="18"/>
    <x v="50"/>
    <x v="0"/>
    <x v="1"/>
    <x v="0"/>
    <x v="0"/>
    <x v="183"/>
    <x v="3"/>
    <x v="1"/>
    <x v="0"/>
    <x v="0"/>
    <x v="0"/>
    <x v="0"/>
    <x v="0"/>
    <x v="0"/>
    <x v="0"/>
  </r>
  <r>
    <x v="904"/>
    <x v="20"/>
    <x v="13"/>
    <x v="2"/>
    <x v="0"/>
    <x v="0"/>
    <x v="279"/>
    <x v="726"/>
    <x v="132"/>
    <x v="472"/>
    <x v="0"/>
    <x v="1"/>
    <x v="2"/>
    <x v="2"/>
    <x v="208"/>
    <x v="0"/>
    <x v="0"/>
    <x v="0"/>
    <x v="1"/>
    <x v="1"/>
    <x v="0"/>
    <x v="0"/>
    <x v="0"/>
    <x v="0"/>
  </r>
  <r>
    <x v="905"/>
    <x v="50"/>
    <x v="46"/>
    <x v="2"/>
    <x v="5"/>
    <x v="0"/>
    <x v="123"/>
    <x v="365"/>
    <x v="92"/>
    <x v="375"/>
    <x v="1"/>
    <x v="0"/>
    <x v="0"/>
    <x v="0"/>
    <x v="0"/>
    <x v="2"/>
    <x v="1"/>
    <x v="0"/>
    <x v="0"/>
    <x v="0"/>
    <x v="1"/>
    <x v="0"/>
    <x v="0"/>
    <x v="0"/>
  </r>
  <r>
    <x v="906"/>
    <x v="37"/>
    <x v="20"/>
    <x v="2"/>
    <x v="1"/>
    <x v="0"/>
    <x v="454"/>
    <x v="0"/>
    <x v="174"/>
    <x v="533"/>
    <x v="0"/>
    <x v="1"/>
    <x v="1"/>
    <x v="1"/>
    <x v="238"/>
    <x v="2"/>
    <x v="0"/>
    <x v="1"/>
    <x v="1"/>
    <x v="1"/>
    <x v="0"/>
    <x v="1"/>
    <x v="0"/>
    <x v="0"/>
  </r>
  <r>
    <x v="907"/>
    <x v="47"/>
    <x v="56"/>
    <x v="0"/>
    <x v="2"/>
    <x v="0"/>
    <x v="151"/>
    <x v="425"/>
    <x v="28"/>
    <x v="65"/>
    <x v="0"/>
    <x v="1"/>
    <x v="0"/>
    <x v="0"/>
    <x v="184"/>
    <x v="2"/>
    <x v="0"/>
    <x v="0"/>
    <x v="0"/>
    <x v="0"/>
    <x v="0"/>
    <x v="0"/>
    <x v="0"/>
    <x v="0"/>
  </r>
  <r>
    <x v="908"/>
    <x v="47"/>
    <x v="57"/>
    <x v="1"/>
    <x v="3"/>
    <x v="0"/>
    <x v="421"/>
    <x v="471"/>
    <x v="62"/>
    <x v="865"/>
    <x v="0"/>
    <x v="1"/>
    <x v="0"/>
    <x v="0"/>
    <x v="184"/>
    <x v="3"/>
    <x v="0"/>
    <x v="0"/>
    <x v="0"/>
    <x v="0"/>
    <x v="0"/>
    <x v="0"/>
    <x v="0"/>
    <x v="0"/>
  </r>
  <r>
    <x v="909"/>
    <x v="53"/>
    <x v="44"/>
    <x v="1"/>
    <x v="3"/>
    <x v="0"/>
    <x v="203"/>
    <x v="102"/>
    <x v="0"/>
    <x v="982"/>
    <x v="0"/>
    <x v="1"/>
    <x v="0"/>
    <x v="0"/>
    <x v="209"/>
    <x v="1"/>
    <x v="0"/>
    <x v="0"/>
    <x v="0"/>
    <x v="0"/>
    <x v="0"/>
    <x v="0"/>
    <x v="0"/>
    <x v="0"/>
  </r>
  <r>
    <x v="910"/>
    <x v="32"/>
    <x v="68"/>
    <x v="0"/>
    <x v="5"/>
    <x v="0"/>
    <x v="340"/>
    <x v="454"/>
    <x v="0"/>
    <x v="82"/>
    <x v="0"/>
    <x v="1"/>
    <x v="0"/>
    <x v="0"/>
    <x v="207"/>
    <x v="2"/>
    <x v="1"/>
    <x v="1"/>
    <x v="0"/>
    <x v="0"/>
    <x v="0"/>
    <x v="0"/>
    <x v="0"/>
    <x v="0"/>
  </r>
  <r>
    <x v="911"/>
    <x v="55"/>
    <x v="38"/>
    <x v="0"/>
    <x v="0"/>
    <x v="0"/>
    <x v="331"/>
    <x v="275"/>
    <x v="235"/>
    <x v="94"/>
    <x v="1"/>
    <x v="0"/>
    <x v="0"/>
    <x v="0"/>
    <x v="184"/>
    <x v="0"/>
    <x v="0"/>
    <x v="0"/>
    <x v="0"/>
    <x v="0"/>
    <x v="1"/>
    <x v="0"/>
    <x v="0"/>
    <x v="0"/>
  </r>
  <r>
    <x v="912"/>
    <x v="3"/>
    <x v="1"/>
    <x v="1"/>
    <x v="0"/>
    <x v="1"/>
    <x v="382"/>
    <x v="45"/>
    <x v="243"/>
    <x v="824"/>
    <x v="1"/>
    <x v="0"/>
    <x v="3"/>
    <x v="4"/>
    <x v="227"/>
    <x v="1"/>
    <x v="1"/>
    <x v="0"/>
    <x v="2"/>
    <x v="1"/>
    <x v="1"/>
    <x v="1"/>
    <x v="1"/>
    <x v="1"/>
  </r>
  <r>
    <x v="913"/>
    <x v="28"/>
    <x v="43"/>
    <x v="2"/>
    <x v="0"/>
    <x v="0"/>
    <x v="121"/>
    <x v="599"/>
    <x v="121"/>
    <x v="737"/>
    <x v="1"/>
    <x v="0"/>
    <x v="0"/>
    <x v="1"/>
    <x v="310"/>
    <x v="2"/>
    <x v="1"/>
    <x v="1"/>
    <x v="0"/>
    <x v="0"/>
    <x v="1"/>
    <x v="0"/>
    <x v="0"/>
    <x v="0"/>
  </r>
  <r>
    <x v="914"/>
    <x v="23"/>
    <x v="55"/>
    <x v="0"/>
    <x v="0"/>
    <x v="0"/>
    <x v="373"/>
    <x v="209"/>
    <x v="57"/>
    <x v="157"/>
    <x v="1"/>
    <x v="0"/>
    <x v="0"/>
    <x v="0"/>
    <x v="164"/>
    <x v="1"/>
    <x v="1"/>
    <x v="0"/>
    <x v="0"/>
    <x v="0"/>
    <x v="1"/>
    <x v="0"/>
    <x v="0"/>
    <x v="0"/>
  </r>
  <r>
    <x v="915"/>
    <x v="5"/>
    <x v="7"/>
    <x v="0"/>
    <x v="0"/>
    <x v="0"/>
    <x v="441"/>
    <x v="258"/>
    <x v="94"/>
    <x v="0"/>
    <x v="0"/>
    <x v="1"/>
    <x v="1"/>
    <x v="1"/>
    <x v="89"/>
    <x v="1"/>
    <x v="1"/>
    <x v="1"/>
    <x v="1"/>
    <x v="1"/>
    <x v="0"/>
    <x v="0"/>
    <x v="0"/>
    <x v="0"/>
  </r>
  <r>
    <x v="916"/>
    <x v="50"/>
    <x v="7"/>
    <x v="2"/>
    <x v="2"/>
    <x v="0"/>
    <x v="192"/>
    <x v="234"/>
    <x v="176"/>
    <x v="448"/>
    <x v="0"/>
    <x v="1"/>
    <x v="0"/>
    <x v="0"/>
    <x v="170"/>
    <x v="1"/>
    <x v="0"/>
    <x v="1"/>
    <x v="1"/>
    <x v="0"/>
    <x v="0"/>
    <x v="0"/>
    <x v="0"/>
    <x v="0"/>
  </r>
  <r>
    <x v="917"/>
    <x v="46"/>
    <x v="19"/>
    <x v="2"/>
    <x v="2"/>
    <x v="0"/>
    <x v="233"/>
    <x v="706"/>
    <x v="79"/>
    <x v="424"/>
    <x v="0"/>
    <x v="1"/>
    <x v="1"/>
    <x v="2"/>
    <x v="281"/>
    <x v="0"/>
    <x v="2"/>
    <x v="1"/>
    <x v="1"/>
    <x v="1"/>
    <x v="0"/>
    <x v="0"/>
    <x v="0"/>
    <x v="0"/>
  </r>
  <r>
    <x v="918"/>
    <x v="43"/>
    <x v="60"/>
    <x v="2"/>
    <x v="3"/>
    <x v="0"/>
    <x v="159"/>
    <x v="391"/>
    <x v="132"/>
    <x v="306"/>
    <x v="0"/>
    <x v="1"/>
    <x v="0"/>
    <x v="0"/>
    <x v="56"/>
    <x v="0"/>
    <x v="0"/>
    <x v="0"/>
    <x v="0"/>
    <x v="0"/>
    <x v="0"/>
    <x v="0"/>
    <x v="0"/>
    <x v="0"/>
  </r>
  <r>
    <x v="919"/>
    <x v="36"/>
    <x v="37"/>
    <x v="1"/>
    <x v="1"/>
    <x v="0"/>
    <x v="180"/>
    <x v="433"/>
    <x v="114"/>
    <x v="977"/>
    <x v="1"/>
    <x v="0"/>
    <x v="1"/>
    <x v="1"/>
    <x v="252"/>
    <x v="1"/>
    <x v="1"/>
    <x v="0"/>
    <x v="0"/>
    <x v="1"/>
    <x v="1"/>
    <x v="0"/>
    <x v="0"/>
    <x v="0"/>
  </r>
  <r>
    <x v="920"/>
    <x v="34"/>
    <x v="70"/>
    <x v="2"/>
    <x v="2"/>
    <x v="0"/>
    <x v="433"/>
    <x v="244"/>
    <x v="75"/>
    <x v="592"/>
    <x v="0"/>
    <x v="1"/>
    <x v="1"/>
    <x v="2"/>
    <x v="112"/>
    <x v="1"/>
    <x v="0"/>
    <x v="0"/>
    <x v="0"/>
    <x v="1"/>
    <x v="0"/>
    <x v="0"/>
    <x v="0"/>
    <x v="0"/>
  </r>
  <r>
    <x v="921"/>
    <x v="22"/>
    <x v="62"/>
    <x v="0"/>
    <x v="5"/>
    <x v="0"/>
    <x v="99"/>
    <x v="533"/>
    <x v="78"/>
    <x v="131"/>
    <x v="3"/>
    <x v="0"/>
    <x v="1"/>
    <x v="2"/>
    <x v="216"/>
    <x v="0"/>
    <x v="0"/>
    <x v="0"/>
    <x v="0"/>
    <x v="1"/>
    <x v="1"/>
    <x v="0"/>
    <x v="0"/>
    <x v="0"/>
  </r>
  <r>
    <x v="922"/>
    <x v="39"/>
    <x v="39"/>
    <x v="2"/>
    <x v="1"/>
    <x v="0"/>
    <x v="109"/>
    <x v="723"/>
    <x v="136"/>
    <x v="487"/>
    <x v="0"/>
    <x v="1"/>
    <x v="1"/>
    <x v="2"/>
    <x v="125"/>
    <x v="0"/>
    <x v="0"/>
    <x v="0"/>
    <x v="0"/>
    <x v="1"/>
    <x v="0"/>
    <x v="0"/>
    <x v="0"/>
    <x v="0"/>
  </r>
  <r>
    <x v="923"/>
    <x v="56"/>
    <x v="48"/>
    <x v="2"/>
    <x v="1"/>
    <x v="0"/>
    <x v="424"/>
    <x v="592"/>
    <x v="49"/>
    <x v="627"/>
    <x v="0"/>
    <x v="1"/>
    <x v="0"/>
    <x v="0"/>
    <x v="184"/>
    <x v="1"/>
    <x v="0"/>
    <x v="0"/>
    <x v="0"/>
    <x v="0"/>
    <x v="0"/>
    <x v="0"/>
    <x v="0"/>
    <x v="0"/>
  </r>
  <r>
    <x v="924"/>
    <x v="14"/>
    <x v="23"/>
    <x v="0"/>
    <x v="2"/>
    <x v="1"/>
    <x v="315"/>
    <x v="383"/>
    <x v="147"/>
    <x v="134"/>
    <x v="0"/>
    <x v="1"/>
    <x v="2"/>
    <x v="2"/>
    <x v="335"/>
    <x v="0"/>
    <x v="1"/>
    <x v="1"/>
    <x v="1"/>
    <x v="1"/>
    <x v="0"/>
    <x v="1"/>
    <x v="1"/>
    <x v="1"/>
  </r>
  <r>
    <x v="925"/>
    <x v="19"/>
    <x v="6"/>
    <x v="0"/>
    <x v="3"/>
    <x v="0"/>
    <x v="458"/>
    <x v="578"/>
    <x v="82"/>
    <x v="19"/>
    <x v="0"/>
    <x v="1"/>
    <x v="0"/>
    <x v="0"/>
    <x v="36"/>
    <x v="1"/>
    <x v="2"/>
    <x v="1"/>
    <x v="1"/>
    <x v="0"/>
    <x v="0"/>
    <x v="0"/>
    <x v="0"/>
    <x v="0"/>
  </r>
  <r>
    <x v="926"/>
    <x v="6"/>
    <x v="28"/>
    <x v="2"/>
    <x v="2"/>
    <x v="1"/>
    <x v="169"/>
    <x v="37"/>
    <x v="124"/>
    <x v="376"/>
    <x v="0"/>
    <x v="1"/>
    <x v="0"/>
    <x v="0"/>
    <x v="242"/>
    <x v="1"/>
    <x v="1"/>
    <x v="0"/>
    <x v="0"/>
    <x v="0"/>
    <x v="0"/>
    <x v="1"/>
    <x v="1"/>
    <x v="0"/>
  </r>
  <r>
    <x v="927"/>
    <x v="52"/>
    <x v="42"/>
    <x v="2"/>
    <x v="0"/>
    <x v="0"/>
    <x v="246"/>
    <x v="131"/>
    <x v="212"/>
    <x v="726"/>
    <x v="0"/>
    <x v="1"/>
    <x v="1"/>
    <x v="2"/>
    <x v="343"/>
    <x v="1"/>
    <x v="1"/>
    <x v="1"/>
    <x v="0"/>
    <x v="1"/>
    <x v="0"/>
    <x v="0"/>
    <x v="0"/>
    <x v="0"/>
  </r>
  <r>
    <x v="928"/>
    <x v="30"/>
    <x v="13"/>
    <x v="0"/>
    <x v="1"/>
    <x v="1"/>
    <x v="141"/>
    <x v="329"/>
    <x v="103"/>
    <x v="166"/>
    <x v="0"/>
    <x v="1"/>
    <x v="2"/>
    <x v="2"/>
    <x v="263"/>
    <x v="2"/>
    <x v="0"/>
    <x v="1"/>
    <x v="1"/>
    <x v="1"/>
    <x v="0"/>
    <x v="0"/>
    <x v="1"/>
    <x v="1"/>
  </r>
  <r>
    <x v="929"/>
    <x v="34"/>
    <x v="15"/>
    <x v="2"/>
    <x v="4"/>
    <x v="1"/>
    <x v="248"/>
    <x v="168"/>
    <x v="179"/>
    <x v="304"/>
    <x v="0"/>
    <x v="1"/>
    <x v="1"/>
    <x v="3"/>
    <x v="44"/>
    <x v="1"/>
    <x v="0"/>
    <x v="0"/>
    <x v="1"/>
    <x v="1"/>
    <x v="0"/>
    <x v="0"/>
    <x v="1"/>
    <x v="1"/>
  </r>
  <r>
    <x v="930"/>
    <x v="15"/>
    <x v="1"/>
    <x v="2"/>
    <x v="3"/>
    <x v="1"/>
    <x v="30"/>
    <x v="96"/>
    <x v="0"/>
    <x v="352"/>
    <x v="0"/>
    <x v="1"/>
    <x v="1"/>
    <x v="2"/>
    <x v="50"/>
    <x v="2"/>
    <x v="1"/>
    <x v="1"/>
    <x v="2"/>
    <x v="1"/>
    <x v="0"/>
    <x v="0"/>
    <x v="1"/>
    <x v="1"/>
  </r>
  <r>
    <x v="931"/>
    <x v="2"/>
    <x v="52"/>
    <x v="2"/>
    <x v="3"/>
    <x v="0"/>
    <x v="324"/>
    <x v="0"/>
    <x v="82"/>
    <x v="488"/>
    <x v="0"/>
    <x v="1"/>
    <x v="1"/>
    <x v="2"/>
    <x v="103"/>
    <x v="1"/>
    <x v="1"/>
    <x v="0"/>
    <x v="0"/>
    <x v="1"/>
    <x v="0"/>
    <x v="1"/>
    <x v="0"/>
    <x v="0"/>
  </r>
  <r>
    <x v="932"/>
    <x v="46"/>
    <x v="64"/>
    <x v="1"/>
    <x v="3"/>
    <x v="1"/>
    <x v="272"/>
    <x v="43"/>
    <x v="117"/>
    <x v="845"/>
    <x v="0"/>
    <x v="1"/>
    <x v="0"/>
    <x v="1"/>
    <x v="206"/>
    <x v="4"/>
    <x v="1"/>
    <x v="0"/>
    <x v="0"/>
    <x v="0"/>
    <x v="0"/>
    <x v="1"/>
    <x v="1"/>
    <x v="1"/>
  </r>
  <r>
    <x v="933"/>
    <x v="49"/>
    <x v="59"/>
    <x v="1"/>
    <x v="5"/>
    <x v="0"/>
    <x v="221"/>
    <x v="309"/>
    <x v="237"/>
    <x v="949"/>
    <x v="1"/>
    <x v="0"/>
    <x v="0"/>
    <x v="0"/>
    <x v="214"/>
    <x v="1"/>
    <x v="0"/>
    <x v="1"/>
    <x v="0"/>
    <x v="0"/>
    <x v="1"/>
    <x v="0"/>
    <x v="0"/>
    <x v="0"/>
  </r>
  <r>
    <x v="934"/>
    <x v="19"/>
    <x v="27"/>
    <x v="2"/>
    <x v="5"/>
    <x v="0"/>
    <x v="175"/>
    <x v="377"/>
    <x v="0"/>
    <x v="736"/>
    <x v="0"/>
    <x v="1"/>
    <x v="1"/>
    <x v="2"/>
    <x v="51"/>
    <x v="0"/>
    <x v="0"/>
    <x v="2"/>
    <x v="0"/>
    <x v="1"/>
    <x v="0"/>
    <x v="0"/>
    <x v="0"/>
    <x v="0"/>
  </r>
  <r>
    <x v="935"/>
    <x v="44"/>
    <x v="42"/>
    <x v="0"/>
    <x v="3"/>
    <x v="1"/>
    <x v="113"/>
    <x v="148"/>
    <x v="108"/>
    <x v="212"/>
    <x v="0"/>
    <x v="1"/>
    <x v="0"/>
    <x v="0"/>
    <x v="88"/>
    <x v="2"/>
    <x v="0"/>
    <x v="0"/>
    <x v="0"/>
    <x v="0"/>
    <x v="0"/>
    <x v="0"/>
    <x v="1"/>
    <x v="1"/>
  </r>
  <r>
    <x v="936"/>
    <x v="33"/>
    <x v="69"/>
    <x v="2"/>
    <x v="0"/>
    <x v="0"/>
    <x v="330"/>
    <x v="433"/>
    <x v="216"/>
    <x v="599"/>
    <x v="0"/>
    <x v="1"/>
    <x v="0"/>
    <x v="0"/>
    <x v="96"/>
    <x v="1"/>
    <x v="2"/>
    <x v="0"/>
    <x v="0"/>
    <x v="0"/>
    <x v="0"/>
    <x v="0"/>
    <x v="0"/>
    <x v="0"/>
  </r>
  <r>
    <x v="937"/>
    <x v="37"/>
    <x v="42"/>
    <x v="2"/>
    <x v="2"/>
    <x v="0"/>
    <x v="79"/>
    <x v="248"/>
    <x v="60"/>
    <x v="411"/>
    <x v="0"/>
    <x v="1"/>
    <x v="0"/>
    <x v="0"/>
    <x v="169"/>
    <x v="0"/>
    <x v="0"/>
    <x v="0"/>
    <x v="0"/>
    <x v="0"/>
    <x v="0"/>
    <x v="0"/>
    <x v="0"/>
    <x v="0"/>
  </r>
  <r>
    <x v="938"/>
    <x v="10"/>
    <x v="21"/>
    <x v="0"/>
    <x v="0"/>
    <x v="1"/>
    <x v="299"/>
    <x v="681"/>
    <x v="100"/>
    <x v="153"/>
    <x v="0"/>
    <x v="1"/>
    <x v="4"/>
    <x v="4"/>
    <x v="357"/>
    <x v="2"/>
    <x v="0"/>
    <x v="0"/>
    <x v="1"/>
    <x v="1"/>
    <x v="0"/>
    <x v="0"/>
    <x v="1"/>
    <x v="1"/>
  </r>
  <r>
    <x v="939"/>
    <x v="35"/>
    <x v="24"/>
    <x v="0"/>
    <x v="2"/>
    <x v="0"/>
    <x v="454"/>
    <x v="346"/>
    <x v="138"/>
    <x v="222"/>
    <x v="1"/>
    <x v="0"/>
    <x v="0"/>
    <x v="0"/>
    <x v="81"/>
    <x v="0"/>
    <x v="2"/>
    <x v="1"/>
    <x v="0"/>
    <x v="0"/>
    <x v="1"/>
    <x v="0"/>
    <x v="0"/>
    <x v="0"/>
  </r>
  <r>
    <x v="940"/>
    <x v="9"/>
    <x v="52"/>
    <x v="0"/>
    <x v="3"/>
    <x v="0"/>
    <x v="414"/>
    <x v="604"/>
    <x v="128"/>
    <x v="164"/>
    <x v="0"/>
    <x v="1"/>
    <x v="1"/>
    <x v="1"/>
    <x v="78"/>
    <x v="1"/>
    <x v="1"/>
    <x v="0"/>
    <x v="0"/>
    <x v="1"/>
    <x v="0"/>
    <x v="0"/>
    <x v="0"/>
    <x v="0"/>
  </r>
  <r>
    <x v="941"/>
    <x v="12"/>
    <x v="32"/>
    <x v="2"/>
    <x v="5"/>
    <x v="0"/>
    <x v="47"/>
    <x v="472"/>
    <x v="223"/>
    <x v="616"/>
    <x v="1"/>
    <x v="0"/>
    <x v="0"/>
    <x v="1"/>
    <x v="64"/>
    <x v="1"/>
    <x v="0"/>
    <x v="0"/>
    <x v="0"/>
    <x v="0"/>
    <x v="1"/>
    <x v="0"/>
    <x v="0"/>
    <x v="0"/>
  </r>
  <r>
    <x v="942"/>
    <x v="20"/>
    <x v="60"/>
    <x v="2"/>
    <x v="2"/>
    <x v="0"/>
    <x v="157"/>
    <x v="31"/>
    <x v="146"/>
    <x v="346"/>
    <x v="0"/>
    <x v="1"/>
    <x v="1"/>
    <x v="1"/>
    <x v="257"/>
    <x v="1"/>
    <x v="1"/>
    <x v="0"/>
    <x v="0"/>
    <x v="1"/>
    <x v="0"/>
    <x v="1"/>
    <x v="0"/>
    <x v="0"/>
  </r>
  <r>
    <x v="943"/>
    <x v="12"/>
    <x v="62"/>
    <x v="0"/>
    <x v="3"/>
    <x v="0"/>
    <x v="285"/>
    <x v="371"/>
    <x v="208"/>
    <x v="95"/>
    <x v="0"/>
    <x v="1"/>
    <x v="0"/>
    <x v="0"/>
    <x v="183"/>
    <x v="0"/>
    <x v="0"/>
    <x v="0"/>
    <x v="0"/>
    <x v="0"/>
    <x v="0"/>
    <x v="0"/>
    <x v="0"/>
    <x v="0"/>
  </r>
  <r>
    <x v="944"/>
    <x v="52"/>
    <x v="2"/>
    <x v="1"/>
    <x v="3"/>
    <x v="0"/>
    <x v="219"/>
    <x v="59"/>
    <x v="90"/>
    <x v="969"/>
    <x v="1"/>
    <x v="0"/>
    <x v="0"/>
    <x v="0"/>
    <x v="85"/>
    <x v="2"/>
    <x v="0"/>
    <x v="0"/>
    <x v="2"/>
    <x v="0"/>
    <x v="1"/>
    <x v="0"/>
    <x v="0"/>
    <x v="0"/>
  </r>
  <r>
    <x v="945"/>
    <x v="1"/>
    <x v="52"/>
    <x v="1"/>
    <x v="3"/>
    <x v="1"/>
    <x v="58"/>
    <x v="364"/>
    <x v="63"/>
    <x v="734"/>
    <x v="0"/>
    <x v="1"/>
    <x v="2"/>
    <x v="2"/>
    <x v="147"/>
    <x v="1"/>
    <x v="1"/>
    <x v="0"/>
    <x v="0"/>
    <x v="1"/>
    <x v="0"/>
    <x v="0"/>
    <x v="1"/>
    <x v="1"/>
  </r>
  <r>
    <x v="946"/>
    <x v="52"/>
    <x v="26"/>
    <x v="0"/>
    <x v="5"/>
    <x v="1"/>
    <x v="280"/>
    <x v="164"/>
    <x v="99"/>
    <x v="66"/>
    <x v="1"/>
    <x v="0"/>
    <x v="2"/>
    <x v="4"/>
    <x v="98"/>
    <x v="0"/>
    <x v="1"/>
    <x v="0"/>
    <x v="0"/>
    <x v="1"/>
    <x v="1"/>
    <x v="0"/>
    <x v="1"/>
    <x v="1"/>
  </r>
  <r>
    <x v="947"/>
    <x v="8"/>
    <x v="37"/>
    <x v="1"/>
    <x v="0"/>
    <x v="0"/>
    <x v="227"/>
    <x v="510"/>
    <x v="36"/>
    <x v="779"/>
    <x v="1"/>
    <x v="0"/>
    <x v="1"/>
    <x v="2"/>
    <x v="223"/>
    <x v="1"/>
    <x v="0"/>
    <x v="1"/>
    <x v="0"/>
    <x v="1"/>
    <x v="1"/>
    <x v="0"/>
    <x v="0"/>
    <x v="0"/>
  </r>
  <r>
    <x v="948"/>
    <x v="50"/>
    <x v="19"/>
    <x v="0"/>
    <x v="0"/>
    <x v="1"/>
    <x v="444"/>
    <x v="46"/>
    <x v="149"/>
    <x v="245"/>
    <x v="0"/>
    <x v="1"/>
    <x v="1"/>
    <x v="2"/>
    <x v="372"/>
    <x v="3"/>
    <x v="0"/>
    <x v="1"/>
    <x v="1"/>
    <x v="1"/>
    <x v="0"/>
    <x v="1"/>
    <x v="1"/>
    <x v="1"/>
  </r>
  <r>
    <x v="949"/>
    <x v="19"/>
    <x v="26"/>
    <x v="1"/>
    <x v="3"/>
    <x v="0"/>
    <x v="193"/>
    <x v="408"/>
    <x v="88"/>
    <x v="925"/>
    <x v="0"/>
    <x v="1"/>
    <x v="0"/>
    <x v="1"/>
    <x v="249"/>
    <x v="0"/>
    <x v="1"/>
    <x v="0"/>
    <x v="0"/>
    <x v="0"/>
    <x v="0"/>
    <x v="0"/>
    <x v="0"/>
    <x v="0"/>
  </r>
  <r>
    <x v="950"/>
    <x v="53"/>
    <x v="23"/>
    <x v="1"/>
    <x v="1"/>
    <x v="0"/>
    <x v="385"/>
    <x v="567"/>
    <x v="68"/>
    <x v="909"/>
    <x v="1"/>
    <x v="0"/>
    <x v="0"/>
    <x v="0"/>
    <x v="184"/>
    <x v="2"/>
    <x v="1"/>
    <x v="0"/>
    <x v="1"/>
    <x v="0"/>
    <x v="1"/>
    <x v="0"/>
    <x v="0"/>
    <x v="0"/>
  </r>
  <r>
    <x v="951"/>
    <x v="31"/>
    <x v="3"/>
    <x v="0"/>
    <x v="3"/>
    <x v="0"/>
    <x v="70"/>
    <x v="646"/>
    <x v="150"/>
    <x v="133"/>
    <x v="0"/>
    <x v="1"/>
    <x v="0"/>
    <x v="1"/>
    <x v="113"/>
    <x v="2"/>
    <x v="2"/>
    <x v="1"/>
    <x v="2"/>
    <x v="0"/>
    <x v="0"/>
    <x v="0"/>
    <x v="0"/>
    <x v="0"/>
  </r>
  <r>
    <x v="952"/>
    <x v="28"/>
    <x v="56"/>
    <x v="1"/>
    <x v="3"/>
    <x v="1"/>
    <x v="97"/>
    <x v="159"/>
    <x v="37"/>
    <x v="686"/>
    <x v="1"/>
    <x v="0"/>
    <x v="0"/>
    <x v="0"/>
    <x v="184"/>
    <x v="2"/>
    <x v="1"/>
    <x v="0"/>
    <x v="0"/>
    <x v="0"/>
    <x v="1"/>
    <x v="0"/>
    <x v="1"/>
    <x v="1"/>
  </r>
  <r>
    <x v="953"/>
    <x v="7"/>
    <x v="10"/>
    <x v="1"/>
    <x v="2"/>
    <x v="0"/>
    <x v="329"/>
    <x v="409"/>
    <x v="169"/>
    <x v="958"/>
    <x v="1"/>
    <x v="0"/>
    <x v="0"/>
    <x v="0"/>
    <x v="267"/>
    <x v="0"/>
    <x v="2"/>
    <x v="2"/>
    <x v="1"/>
    <x v="0"/>
    <x v="1"/>
    <x v="0"/>
    <x v="0"/>
    <x v="0"/>
  </r>
  <r>
    <x v="954"/>
    <x v="25"/>
    <x v="27"/>
    <x v="1"/>
    <x v="0"/>
    <x v="1"/>
    <x v="374"/>
    <x v="383"/>
    <x v="82"/>
    <x v="835"/>
    <x v="0"/>
    <x v="1"/>
    <x v="0"/>
    <x v="1"/>
    <x v="263"/>
    <x v="1"/>
    <x v="0"/>
    <x v="1"/>
    <x v="0"/>
    <x v="0"/>
    <x v="0"/>
    <x v="1"/>
    <x v="1"/>
    <x v="1"/>
  </r>
  <r>
    <x v="955"/>
    <x v="32"/>
    <x v="13"/>
    <x v="1"/>
    <x v="0"/>
    <x v="0"/>
    <x v="106"/>
    <x v="757"/>
    <x v="196"/>
    <x v="930"/>
    <x v="1"/>
    <x v="0"/>
    <x v="0"/>
    <x v="0"/>
    <x v="136"/>
    <x v="0"/>
    <x v="4"/>
    <x v="0"/>
    <x v="1"/>
    <x v="0"/>
    <x v="1"/>
    <x v="0"/>
    <x v="0"/>
    <x v="0"/>
  </r>
  <r>
    <x v="956"/>
    <x v="57"/>
    <x v="11"/>
    <x v="2"/>
    <x v="5"/>
    <x v="0"/>
    <x v="232"/>
    <x v="20"/>
    <x v="88"/>
    <x v="412"/>
    <x v="0"/>
    <x v="1"/>
    <x v="2"/>
    <x v="5"/>
    <x v="311"/>
    <x v="1"/>
    <x v="0"/>
    <x v="0"/>
    <x v="1"/>
    <x v="1"/>
    <x v="0"/>
    <x v="1"/>
    <x v="0"/>
    <x v="0"/>
  </r>
  <r>
    <x v="957"/>
    <x v="15"/>
    <x v="26"/>
    <x v="0"/>
    <x v="1"/>
    <x v="1"/>
    <x v="60"/>
    <x v="127"/>
    <x v="159"/>
    <x v="298"/>
    <x v="3"/>
    <x v="0"/>
    <x v="1"/>
    <x v="1"/>
    <x v="190"/>
    <x v="1"/>
    <x v="0"/>
    <x v="1"/>
    <x v="0"/>
    <x v="1"/>
    <x v="1"/>
    <x v="0"/>
    <x v="1"/>
    <x v="1"/>
  </r>
  <r>
    <x v="958"/>
    <x v="4"/>
    <x v="66"/>
    <x v="1"/>
    <x v="1"/>
    <x v="1"/>
    <x v="204"/>
    <x v="811"/>
    <x v="128"/>
    <x v="886"/>
    <x v="0"/>
    <x v="1"/>
    <x v="0"/>
    <x v="0"/>
    <x v="184"/>
    <x v="0"/>
    <x v="0"/>
    <x v="1"/>
    <x v="0"/>
    <x v="0"/>
    <x v="0"/>
    <x v="0"/>
    <x v="1"/>
    <x v="1"/>
  </r>
  <r>
    <x v="959"/>
    <x v="14"/>
    <x v="67"/>
    <x v="2"/>
    <x v="1"/>
    <x v="0"/>
    <x v="344"/>
    <x v="303"/>
    <x v="167"/>
    <x v="674"/>
    <x v="0"/>
    <x v="1"/>
    <x v="1"/>
    <x v="1"/>
    <x v="223"/>
    <x v="0"/>
    <x v="1"/>
    <x v="0"/>
    <x v="0"/>
    <x v="1"/>
    <x v="0"/>
    <x v="0"/>
    <x v="0"/>
    <x v="0"/>
  </r>
  <r>
    <x v="960"/>
    <x v="14"/>
    <x v="27"/>
    <x v="2"/>
    <x v="1"/>
    <x v="0"/>
    <x v="171"/>
    <x v="0"/>
    <x v="123"/>
    <x v="426"/>
    <x v="0"/>
    <x v="1"/>
    <x v="0"/>
    <x v="0"/>
    <x v="170"/>
    <x v="1"/>
    <x v="0"/>
    <x v="0"/>
    <x v="0"/>
    <x v="0"/>
    <x v="0"/>
    <x v="1"/>
    <x v="0"/>
    <x v="0"/>
  </r>
  <r>
    <x v="961"/>
    <x v="54"/>
    <x v="36"/>
    <x v="2"/>
    <x v="3"/>
    <x v="0"/>
    <x v="194"/>
    <x v="204"/>
    <x v="4"/>
    <x v="550"/>
    <x v="0"/>
    <x v="1"/>
    <x v="0"/>
    <x v="1"/>
    <x v="79"/>
    <x v="0"/>
    <x v="0"/>
    <x v="2"/>
    <x v="0"/>
    <x v="0"/>
    <x v="0"/>
    <x v="0"/>
    <x v="0"/>
    <x v="0"/>
  </r>
  <r>
    <x v="962"/>
    <x v="8"/>
    <x v="70"/>
    <x v="2"/>
    <x v="2"/>
    <x v="1"/>
    <x v="84"/>
    <x v="0"/>
    <x v="186"/>
    <x v="506"/>
    <x v="0"/>
    <x v="1"/>
    <x v="0"/>
    <x v="0"/>
    <x v="172"/>
    <x v="2"/>
    <x v="3"/>
    <x v="1"/>
    <x v="0"/>
    <x v="0"/>
    <x v="0"/>
    <x v="1"/>
    <x v="1"/>
    <x v="0"/>
  </r>
  <r>
    <x v="963"/>
    <x v="57"/>
    <x v="16"/>
    <x v="0"/>
    <x v="2"/>
    <x v="0"/>
    <x v="142"/>
    <x v="485"/>
    <x v="109"/>
    <x v="161"/>
    <x v="1"/>
    <x v="0"/>
    <x v="0"/>
    <x v="0"/>
    <x v="279"/>
    <x v="0"/>
    <x v="1"/>
    <x v="1"/>
    <x v="1"/>
    <x v="0"/>
    <x v="1"/>
    <x v="0"/>
    <x v="0"/>
    <x v="0"/>
  </r>
  <r>
    <x v="964"/>
    <x v="6"/>
    <x v="68"/>
    <x v="2"/>
    <x v="0"/>
    <x v="0"/>
    <x v="437"/>
    <x v="628"/>
    <x v="170"/>
    <x v="694"/>
    <x v="0"/>
    <x v="1"/>
    <x v="1"/>
    <x v="1"/>
    <x v="131"/>
    <x v="2"/>
    <x v="0"/>
    <x v="0"/>
    <x v="0"/>
    <x v="1"/>
    <x v="0"/>
    <x v="0"/>
    <x v="0"/>
    <x v="0"/>
  </r>
  <r>
    <x v="965"/>
    <x v="47"/>
    <x v="7"/>
    <x v="0"/>
    <x v="1"/>
    <x v="0"/>
    <x v="239"/>
    <x v="126"/>
    <x v="163"/>
    <x v="5"/>
    <x v="0"/>
    <x v="1"/>
    <x v="0"/>
    <x v="1"/>
    <x v="238"/>
    <x v="0"/>
    <x v="1"/>
    <x v="0"/>
    <x v="1"/>
    <x v="0"/>
    <x v="0"/>
    <x v="0"/>
    <x v="0"/>
    <x v="0"/>
  </r>
  <r>
    <x v="966"/>
    <x v="24"/>
    <x v="16"/>
    <x v="2"/>
    <x v="0"/>
    <x v="0"/>
    <x v="100"/>
    <x v="232"/>
    <x v="61"/>
    <x v="629"/>
    <x v="0"/>
    <x v="1"/>
    <x v="1"/>
    <x v="1"/>
    <x v="70"/>
    <x v="0"/>
    <x v="1"/>
    <x v="0"/>
    <x v="1"/>
    <x v="1"/>
    <x v="0"/>
    <x v="0"/>
    <x v="0"/>
    <x v="0"/>
  </r>
  <r>
    <x v="967"/>
    <x v="3"/>
    <x v="24"/>
    <x v="1"/>
    <x v="2"/>
    <x v="1"/>
    <x v="184"/>
    <x v="651"/>
    <x v="52"/>
    <x v="946"/>
    <x v="2"/>
    <x v="0"/>
    <x v="1"/>
    <x v="1"/>
    <x v="273"/>
    <x v="1"/>
    <x v="0"/>
    <x v="0"/>
    <x v="0"/>
    <x v="1"/>
    <x v="1"/>
    <x v="0"/>
    <x v="1"/>
    <x v="1"/>
  </r>
  <r>
    <x v="968"/>
    <x v="35"/>
    <x v="2"/>
    <x v="2"/>
    <x v="4"/>
    <x v="1"/>
    <x v="41"/>
    <x v="0"/>
    <x v="161"/>
    <x v="482"/>
    <x v="0"/>
    <x v="1"/>
    <x v="4"/>
    <x v="4"/>
    <x v="225"/>
    <x v="1"/>
    <x v="0"/>
    <x v="0"/>
    <x v="2"/>
    <x v="1"/>
    <x v="0"/>
    <x v="1"/>
    <x v="1"/>
    <x v="1"/>
  </r>
  <r>
    <x v="969"/>
    <x v="42"/>
    <x v="58"/>
    <x v="2"/>
    <x v="3"/>
    <x v="1"/>
    <x v="98"/>
    <x v="50"/>
    <x v="94"/>
    <x v="397"/>
    <x v="1"/>
    <x v="0"/>
    <x v="1"/>
    <x v="1"/>
    <x v="59"/>
    <x v="0"/>
    <x v="0"/>
    <x v="0"/>
    <x v="0"/>
    <x v="1"/>
    <x v="1"/>
    <x v="1"/>
    <x v="1"/>
    <x v="1"/>
  </r>
  <r>
    <x v="970"/>
    <x v="48"/>
    <x v="61"/>
    <x v="0"/>
    <x v="3"/>
    <x v="0"/>
    <x v="404"/>
    <x v="321"/>
    <x v="181"/>
    <x v="182"/>
    <x v="1"/>
    <x v="0"/>
    <x v="0"/>
    <x v="1"/>
    <x v="164"/>
    <x v="0"/>
    <x v="0"/>
    <x v="2"/>
    <x v="0"/>
    <x v="0"/>
    <x v="1"/>
    <x v="0"/>
    <x v="0"/>
    <x v="0"/>
  </r>
  <r>
    <x v="971"/>
    <x v="10"/>
    <x v="27"/>
    <x v="1"/>
    <x v="4"/>
    <x v="1"/>
    <x v="210"/>
    <x v="163"/>
    <x v="103"/>
    <x v="948"/>
    <x v="0"/>
    <x v="1"/>
    <x v="1"/>
    <x v="1"/>
    <x v="287"/>
    <x v="0"/>
    <x v="0"/>
    <x v="1"/>
    <x v="0"/>
    <x v="1"/>
    <x v="0"/>
    <x v="0"/>
    <x v="1"/>
    <x v="0"/>
  </r>
  <r>
    <x v="972"/>
    <x v="35"/>
    <x v="60"/>
    <x v="2"/>
    <x v="2"/>
    <x v="0"/>
    <x v="442"/>
    <x v="297"/>
    <x v="187"/>
    <x v="577"/>
    <x v="0"/>
    <x v="1"/>
    <x v="0"/>
    <x v="0"/>
    <x v="53"/>
    <x v="1"/>
    <x v="0"/>
    <x v="0"/>
    <x v="0"/>
    <x v="0"/>
    <x v="0"/>
    <x v="0"/>
    <x v="0"/>
    <x v="0"/>
  </r>
  <r>
    <x v="973"/>
    <x v="33"/>
    <x v="55"/>
    <x v="2"/>
    <x v="0"/>
    <x v="0"/>
    <x v="216"/>
    <x v="55"/>
    <x v="145"/>
    <x v="687"/>
    <x v="2"/>
    <x v="0"/>
    <x v="1"/>
    <x v="3"/>
    <x v="71"/>
    <x v="1"/>
    <x v="1"/>
    <x v="1"/>
    <x v="0"/>
    <x v="1"/>
    <x v="1"/>
    <x v="0"/>
    <x v="0"/>
    <x v="0"/>
  </r>
  <r>
    <x v="974"/>
    <x v="25"/>
    <x v="57"/>
    <x v="0"/>
    <x v="3"/>
    <x v="0"/>
    <x v="225"/>
    <x v="480"/>
    <x v="135"/>
    <x v="169"/>
    <x v="0"/>
    <x v="1"/>
    <x v="0"/>
    <x v="1"/>
    <x v="180"/>
    <x v="3"/>
    <x v="1"/>
    <x v="1"/>
    <x v="0"/>
    <x v="0"/>
    <x v="0"/>
    <x v="0"/>
    <x v="0"/>
    <x v="0"/>
  </r>
  <r>
    <x v="975"/>
    <x v="51"/>
    <x v="57"/>
    <x v="0"/>
    <x v="1"/>
    <x v="0"/>
    <x v="317"/>
    <x v="348"/>
    <x v="89"/>
    <x v="145"/>
    <x v="1"/>
    <x v="0"/>
    <x v="0"/>
    <x v="2"/>
    <x v="361"/>
    <x v="1"/>
    <x v="0"/>
    <x v="0"/>
    <x v="0"/>
    <x v="0"/>
    <x v="1"/>
    <x v="0"/>
    <x v="0"/>
    <x v="0"/>
  </r>
  <r>
    <x v="976"/>
    <x v="24"/>
    <x v="41"/>
    <x v="2"/>
    <x v="1"/>
    <x v="0"/>
    <x v="0"/>
    <x v="557"/>
    <x v="131"/>
    <x v="357"/>
    <x v="0"/>
    <x v="1"/>
    <x v="2"/>
    <x v="3"/>
    <x v="112"/>
    <x v="2"/>
    <x v="0"/>
    <x v="0"/>
    <x v="0"/>
    <x v="1"/>
    <x v="0"/>
    <x v="0"/>
    <x v="0"/>
    <x v="0"/>
  </r>
  <r>
    <x v="977"/>
    <x v="22"/>
    <x v="7"/>
    <x v="1"/>
    <x v="3"/>
    <x v="1"/>
    <x v="258"/>
    <x v="470"/>
    <x v="198"/>
    <x v="863"/>
    <x v="1"/>
    <x v="0"/>
    <x v="1"/>
    <x v="1"/>
    <x v="243"/>
    <x v="1"/>
    <x v="2"/>
    <x v="1"/>
    <x v="1"/>
    <x v="1"/>
    <x v="1"/>
    <x v="0"/>
    <x v="1"/>
    <x v="1"/>
  </r>
  <r>
    <x v="978"/>
    <x v="30"/>
    <x v="66"/>
    <x v="2"/>
    <x v="1"/>
    <x v="0"/>
    <x v="223"/>
    <x v="476"/>
    <x v="111"/>
    <x v="388"/>
    <x v="1"/>
    <x v="0"/>
    <x v="1"/>
    <x v="2"/>
    <x v="218"/>
    <x v="1"/>
    <x v="1"/>
    <x v="0"/>
    <x v="0"/>
    <x v="1"/>
    <x v="1"/>
    <x v="0"/>
    <x v="0"/>
    <x v="0"/>
  </r>
  <r>
    <x v="979"/>
    <x v="53"/>
    <x v="43"/>
    <x v="0"/>
    <x v="2"/>
    <x v="0"/>
    <x v="414"/>
    <x v="27"/>
    <x v="152"/>
    <x v="216"/>
    <x v="0"/>
    <x v="1"/>
    <x v="0"/>
    <x v="0"/>
    <x v="184"/>
    <x v="0"/>
    <x v="0"/>
    <x v="0"/>
    <x v="0"/>
    <x v="0"/>
    <x v="0"/>
    <x v="1"/>
    <x v="0"/>
    <x v="0"/>
  </r>
  <r>
    <x v="980"/>
    <x v="50"/>
    <x v="64"/>
    <x v="1"/>
    <x v="0"/>
    <x v="0"/>
    <x v="360"/>
    <x v="543"/>
    <x v="118"/>
    <x v="793"/>
    <x v="0"/>
    <x v="1"/>
    <x v="0"/>
    <x v="0"/>
    <x v="206"/>
    <x v="2"/>
    <x v="0"/>
    <x v="0"/>
    <x v="0"/>
    <x v="0"/>
    <x v="0"/>
    <x v="0"/>
    <x v="0"/>
    <x v="0"/>
  </r>
  <r>
    <x v="981"/>
    <x v="41"/>
    <x v="69"/>
    <x v="2"/>
    <x v="5"/>
    <x v="1"/>
    <x v="83"/>
    <x v="287"/>
    <x v="124"/>
    <x v="359"/>
    <x v="1"/>
    <x v="0"/>
    <x v="1"/>
    <x v="1"/>
    <x v="138"/>
    <x v="2"/>
    <x v="0"/>
    <x v="0"/>
    <x v="0"/>
    <x v="1"/>
    <x v="1"/>
    <x v="0"/>
    <x v="1"/>
    <x v="0"/>
  </r>
  <r>
    <x v="982"/>
    <x v="4"/>
    <x v="13"/>
    <x v="1"/>
    <x v="5"/>
    <x v="1"/>
    <x v="393"/>
    <x v="344"/>
    <x v="231"/>
    <x v="950"/>
    <x v="1"/>
    <x v="0"/>
    <x v="0"/>
    <x v="0"/>
    <x v="148"/>
    <x v="2"/>
    <x v="0"/>
    <x v="1"/>
    <x v="1"/>
    <x v="0"/>
    <x v="1"/>
    <x v="0"/>
    <x v="1"/>
    <x v="1"/>
  </r>
  <r>
    <x v="983"/>
    <x v="17"/>
    <x v="28"/>
    <x v="0"/>
    <x v="1"/>
    <x v="0"/>
    <x v="192"/>
    <x v="669"/>
    <x v="199"/>
    <x v="269"/>
    <x v="1"/>
    <x v="0"/>
    <x v="0"/>
    <x v="1"/>
    <x v="17"/>
    <x v="2"/>
    <x v="0"/>
    <x v="0"/>
    <x v="0"/>
    <x v="0"/>
    <x v="1"/>
    <x v="0"/>
    <x v="0"/>
    <x v="0"/>
  </r>
  <r>
    <x v="984"/>
    <x v="0"/>
    <x v="13"/>
    <x v="2"/>
    <x v="2"/>
    <x v="1"/>
    <x v="112"/>
    <x v="171"/>
    <x v="121"/>
    <x v="507"/>
    <x v="0"/>
    <x v="1"/>
    <x v="0"/>
    <x v="1"/>
    <x v="184"/>
    <x v="0"/>
    <x v="0"/>
    <x v="0"/>
    <x v="1"/>
    <x v="0"/>
    <x v="0"/>
    <x v="0"/>
    <x v="1"/>
    <x v="1"/>
  </r>
  <r>
    <x v="985"/>
    <x v="5"/>
    <x v="3"/>
    <x v="1"/>
    <x v="0"/>
    <x v="0"/>
    <x v="257"/>
    <x v="724"/>
    <x v="130"/>
    <x v="896"/>
    <x v="1"/>
    <x v="0"/>
    <x v="1"/>
    <x v="2"/>
    <x v="284"/>
    <x v="0"/>
    <x v="1"/>
    <x v="0"/>
    <x v="2"/>
    <x v="1"/>
    <x v="1"/>
    <x v="0"/>
    <x v="0"/>
    <x v="0"/>
  </r>
  <r>
    <x v="986"/>
    <x v="48"/>
    <x v="69"/>
    <x v="0"/>
    <x v="3"/>
    <x v="0"/>
    <x v="201"/>
    <x v="738"/>
    <x v="66"/>
    <x v="122"/>
    <x v="0"/>
    <x v="1"/>
    <x v="1"/>
    <x v="3"/>
    <x v="194"/>
    <x v="0"/>
    <x v="2"/>
    <x v="1"/>
    <x v="0"/>
    <x v="1"/>
    <x v="0"/>
    <x v="0"/>
    <x v="0"/>
    <x v="0"/>
  </r>
  <r>
    <x v="987"/>
    <x v="47"/>
    <x v="66"/>
    <x v="2"/>
    <x v="2"/>
    <x v="1"/>
    <x v="420"/>
    <x v="616"/>
    <x v="103"/>
    <x v="579"/>
    <x v="0"/>
    <x v="1"/>
    <x v="0"/>
    <x v="0"/>
    <x v="184"/>
    <x v="2"/>
    <x v="0"/>
    <x v="0"/>
    <x v="0"/>
    <x v="0"/>
    <x v="0"/>
    <x v="0"/>
    <x v="1"/>
    <x v="0"/>
  </r>
  <r>
    <x v="988"/>
    <x v="5"/>
    <x v="67"/>
    <x v="1"/>
    <x v="3"/>
    <x v="0"/>
    <x v="273"/>
    <x v="116"/>
    <x v="137"/>
    <x v="770"/>
    <x v="0"/>
    <x v="1"/>
    <x v="0"/>
    <x v="1"/>
    <x v="253"/>
    <x v="0"/>
    <x v="0"/>
    <x v="0"/>
    <x v="0"/>
    <x v="0"/>
    <x v="0"/>
    <x v="0"/>
    <x v="0"/>
    <x v="0"/>
  </r>
  <r>
    <x v="989"/>
    <x v="26"/>
    <x v="63"/>
    <x v="0"/>
    <x v="5"/>
    <x v="0"/>
    <x v="258"/>
    <x v="0"/>
    <x v="175"/>
    <x v="235"/>
    <x v="1"/>
    <x v="0"/>
    <x v="0"/>
    <x v="0"/>
    <x v="184"/>
    <x v="1"/>
    <x v="1"/>
    <x v="0"/>
    <x v="0"/>
    <x v="0"/>
    <x v="1"/>
    <x v="1"/>
    <x v="0"/>
    <x v="0"/>
  </r>
  <r>
    <x v="990"/>
    <x v="16"/>
    <x v="46"/>
    <x v="0"/>
    <x v="1"/>
    <x v="1"/>
    <x v="351"/>
    <x v="677"/>
    <x v="167"/>
    <x v="79"/>
    <x v="1"/>
    <x v="0"/>
    <x v="1"/>
    <x v="1"/>
    <x v="118"/>
    <x v="2"/>
    <x v="0"/>
    <x v="2"/>
    <x v="0"/>
    <x v="1"/>
    <x v="1"/>
    <x v="0"/>
    <x v="1"/>
    <x v="1"/>
  </r>
  <r>
    <x v="991"/>
    <x v="4"/>
    <x v="37"/>
    <x v="2"/>
    <x v="5"/>
    <x v="0"/>
    <x v="375"/>
    <x v="440"/>
    <x v="39"/>
    <x v="637"/>
    <x v="1"/>
    <x v="0"/>
    <x v="1"/>
    <x v="1"/>
    <x v="134"/>
    <x v="1"/>
    <x v="1"/>
    <x v="0"/>
    <x v="0"/>
    <x v="1"/>
    <x v="1"/>
    <x v="0"/>
    <x v="0"/>
    <x v="0"/>
  </r>
  <r>
    <x v="992"/>
    <x v="22"/>
    <x v="71"/>
    <x v="0"/>
    <x v="5"/>
    <x v="0"/>
    <x v="337"/>
    <x v="164"/>
    <x v="183"/>
    <x v="130"/>
    <x v="0"/>
    <x v="1"/>
    <x v="0"/>
    <x v="1"/>
    <x v="30"/>
    <x v="0"/>
    <x v="0"/>
    <x v="0"/>
    <x v="0"/>
    <x v="0"/>
    <x v="0"/>
    <x v="0"/>
    <x v="0"/>
    <x v="0"/>
  </r>
  <r>
    <x v="993"/>
    <x v="5"/>
    <x v="39"/>
    <x v="0"/>
    <x v="3"/>
    <x v="0"/>
    <x v="408"/>
    <x v="697"/>
    <x v="109"/>
    <x v="344"/>
    <x v="1"/>
    <x v="0"/>
    <x v="0"/>
    <x v="1"/>
    <x v="159"/>
    <x v="1"/>
    <x v="2"/>
    <x v="1"/>
    <x v="0"/>
    <x v="0"/>
    <x v="1"/>
    <x v="0"/>
    <x v="0"/>
    <x v="0"/>
  </r>
  <r>
    <x v="994"/>
    <x v="42"/>
    <x v="46"/>
    <x v="2"/>
    <x v="0"/>
    <x v="0"/>
    <x v="312"/>
    <x v="134"/>
    <x v="48"/>
    <x v="570"/>
    <x v="0"/>
    <x v="1"/>
    <x v="0"/>
    <x v="2"/>
    <x v="205"/>
    <x v="1"/>
    <x v="0"/>
    <x v="1"/>
    <x v="0"/>
    <x v="0"/>
    <x v="0"/>
    <x v="0"/>
    <x v="0"/>
    <x v="0"/>
  </r>
  <r>
    <x v="995"/>
    <x v="56"/>
    <x v="15"/>
    <x v="1"/>
    <x v="3"/>
    <x v="0"/>
    <x v="252"/>
    <x v="251"/>
    <x v="209"/>
    <x v="739"/>
    <x v="0"/>
    <x v="1"/>
    <x v="0"/>
    <x v="1"/>
    <x v="342"/>
    <x v="0"/>
    <x v="0"/>
    <x v="1"/>
    <x v="1"/>
    <x v="0"/>
    <x v="0"/>
    <x v="0"/>
    <x v="0"/>
    <x v="0"/>
  </r>
  <r>
    <x v="996"/>
    <x v="24"/>
    <x v="53"/>
    <x v="0"/>
    <x v="5"/>
    <x v="0"/>
    <x v="393"/>
    <x v="551"/>
    <x v="216"/>
    <x v="176"/>
    <x v="1"/>
    <x v="0"/>
    <x v="0"/>
    <x v="0"/>
    <x v="184"/>
    <x v="1"/>
    <x v="0"/>
    <x v="0"/>
    <x v="0"/>
    <x v="0"/>
    <x v="1"/>
    <x v="0"/>
    <x v="0"/>
    <x v="0"/>
  </r>
  <r>
    <x v="997"/>
    <x v="14"/>
    <x v="59"/>
    <x v="0"/>
    <x v="2"/>
    <x v="1"/>
    <x v="216"/>
    <x v="83"/>
    <x v="133"/>
    <x v="117"/>
    <x v="0"/>
    <x v="1"/>
    <x v="1"/>
    <x v="2"/>
    <x v="89"/>
    <x v="2"/>
    <x v="0"/>
    <x v="1"/>
    <x v="0"/>
    <x v="1"/>
    <x v="0"/>
    <x v="0"/>
    <x v="1"/>
    <x v="1"/>
  </r>
  <r>
    <x v="998"/>
    <x v="28"/>
    <x v="48"/>
    <x v="1"/>
    <x v="0"/>
    <x v="1"/>
    <x v="233"/>
    <x v="363"/>
    <x v="165"/>
    <x v="957"/>
    <x v="1"/>
    <x v="0"/>
    <x v="1"/>
    <x v="1"/>
    <x v="33"/>
    <x v="1"/>
    <x v="0"/>
    <x v="1"/>
    <x v="0"/>
    <x v="1"/>
    <x v="1"/>
    <x v="0"/>
    <x v="1"/>
    <x v="1"/>
  </r>
  <r>
    <x v="999"/>
    <x v="56"/>
    <x v="35"/>
    <x v="2"/>
    <x v="3"/>
    <x v="0"/>
    <x v="434"/>
    <x v="680"/>
    <x v="169"/>
    <x v="378"/>
    <x v="0"/>
    <x v="1"/>
    <x v="0"/>
    <x v="2"/>
    <x v="166"/>
    <x v="0"/>
    <x v="1"/>
    <x v="2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10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axis="axisRow" compact="0" defaultSubtotal="0" showAll="0">
      <items count="3">
        <item x="0"/>
        <item x="1"/>
        <item x="2"/>
      </items>
    </pivotField>
    <pivotField compact="0" showAll="0"/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DataPilot1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10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compact="0" showAll="0"/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DataPilot2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13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compact="0" showAll="0"/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DataPilot3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9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compact="0" showAll="0"/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pivotTables/pivotTable5.xml><?xml version="1.0" encoding="utf-8"?>
<pivotTableDefinition xmlns="http://schemas.openxmlformats.org/spreadsheetml/2006/main" name="DataPilot4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13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axis="axisRow" compact="0" defaultSubtotal="0" showAll="0">
      <items count="6">
        <item x="0"/>
        <item x="1"/>
        <item x="2"/>
        <item x="3"/>
        <item x="4"/>
        <item x="5"/>
      </items>
    </pivotField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pivotTables/pivotTable6.xml><?xml version="1.0" encoding="utf-8"?>
<pivotTableDefinition xmlns="http://schemas.openxmlformats.org/spreadsheetml/2006/main" name="DataPilot5" cacheId="0" autoFormatId="1" applyNumberFormats="0" applyBorderFormats="0" applyFontFormats="0" applyPatternFormats="0" applyAlignmentFormats="0" applyWidthHeightFormats="1" dataCaption="Values" indent="0" outline="1" outlineData="1" showDrill="0" multipleFieldFilters="0">
  <location ref="A5:D9" firstHeaderRow="1" firstDataRow="2" firstDataCol="1"/>
  <pivotFields count="2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compact="0" showAll="0"/>
    <pivotField axis="axisCol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2">
        <item x="0"/>
        <item x="1"/>
      </items>
    </pivotField>
    <pivotField compact="0" showAll="0"/>
    <pivotField compact="0" showAll="0"/>
    <pivotField compact="0" showAll="0"/>
    <pivotField compact="0" showAll="0"/>
  </pivotFields>
  <rowFields count="1">
    <field x="19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- customer_id" fld="0" subtotal="count" baseField="0" baseItem="0" numFmtId="180"/>
  </dataField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0" name="Table10" displayName="Table10" ref="A4:X1004" totalsRowShown="0">
  <autoFilter xmlns:etc="http://www.wps.cn/officeDocument/2017/etCustomData" ref="A4:X1004" etc:filterBottomFollowUsedRange="0">
    <extLst/>
  </autoFilter>
  <tableColumns count="24">
    <tableColumn id="1" name="customer_id" dataDxfId="0"/>
    <tableColumn id="2" name="age" dataDxfId="1"/>
    <tableColumn id="3" name="tenure" dataDxfId="2"/>
    <tableColumn id="4" name="plan" dataDxfId="3"/>
    <tableColumn id="5" name="region" dataDxfId="4"/>
    <tableColumn id="6" name="churn" dataDxfId="5"/>
    <tableColumn id="7" name="voice_minutes" dataDxfId="6"/>
    <tableColumn id="8" name="data_gb" dataDxfId="7"/>
    <tableColumn id="9" name="sms_count" dataDxfId="8"/>
    <tableColumn id="10" name="monthly_charges" dataDxfId="9"/>
    <tableColumn id="11" name="late_payments" dataDxfId="10"/>
    <tableColumn id="12" name="payment_status" dataDxfId="11"/>
    <tableColumn id="13" name="complaints" dataDxfId="12"/>
    <tableColumn id="14" name="support_tickets" dataDxfId="13"/>
    <tableColumn id="15" name="avg_resolution_hours" dataDxfId="14"/>
    <tableColumn id="16" name="network_issues" dataDxfId="15"/>
    <tableColumn id="17" name="outages" dataDxfId="16"/>
    <tableColumn id="18" name="plan_changes" dataDxfId="17"/>
    <tableColumn id="19" name="tenure_group" dataDxfId="18"/>
    <tableColumn id="20" name="complaint_flag" dataDxfId="19"/>
    <tableColumn id="21" name="late_payment_flag" dataDxfId="20"/>
    <tableColumn id="22" name="low_data_usage_flag" dataDxfId="21"/>
    <tableColumn id="23" name="churn_binary" dataDxfId="22"/>
    <tableColumn id="24" name="predicted_churn" dataDxfId="2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PlanChurnTable" displayName="PlanChurnTable" ref="A4:E7" totalsRowShown="0">
  <autoFilter xmlns:etc="http://www.wps.cn/officeDocument/2017/etCustomData" ref="A4:E7" etc:filterBottomFollowUsedRange="0"/>
  <tableColumns count="5">
    <tableColumn id="1" name="Plan" dataDxfId="24"/>
    <tableColumn id="2" name="Total Customers" dataDxfId="25"/>
    <tableColumn id="3" name="Churned" dataDxfId="26"/>
    <tableColumn id="4" name="Retained" dataDxfId="27"/>
    <tableColumn id="5" name="Churn Rate" dataDxfId="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enureChurnTable" displayName="TenureChurnTable" ref="A4:F7" totalsRowShown="0">
  <autoFilter xmlns:etc="http://www.wps.cn/officeDocument/2017/etCustomData" ref="A4:F7" etc:filterBottomFollowUsedRange="0"/>
  <tableColumns count="6">
    <tableColumn id="1" name="Tenure Group" dataDxfId="29"/>
    <tableColumn id="2" name="Total Customers" dataDxfId="30"/>
    <tableColumn id="3" name="Churned" dataDxfId="31"/>
    <tableColumn id="4" name="Retained" dataDxfId="32"/>
    <tableColumn id="5" name="Churn Rate" dataDxfId="33"/>
    <tableColumn id="6" name="Average Tenure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" name="ComplaintAnalysisTable" displayName="ComplaintAnalysisTable" ref="A4:E6" totalsRowShown="0">
  <autoFilter xmlns:etc="http://www.wps.cn/officeDocument/2017/etCustomData" ref="A4:E6" etc:filterBottomFollowUsedRange="0"/>
  <tableColumns count="5">
    <tableColumn id="1" name="Churn Status" dataDxfId="35"/>
    <tableColumn id="2" name="Customers" dataDxfId="36"/>
    <tableColumn id="3" name="Average Complaints" dataDxfId="37"/>
    <tableColumn id="4" name="Average Support Tickets" dataDxfId="38"/>
    <tableColumn id="5" name="Avg Resolution Hours" dataDxfId="3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" name="PaymentBehaviorTable" displayName="PaymentBehaviorTable" ref="A4:F6" totalsRowShown="0">
  <autoFilter xmlns:etc="http://www.wps.cn/officeDocument/2017/etCustomData" ref="A4:F6" etc:filterBottomFollowUsedRange="0"/>
  <tableColumns count="6">
    <tableColumn id="1" name="Late Payment Group" dataDxfId="40"/>
    <tableColumn id="2" name="Total Customers" dataDxfId="41"/>
    <tableColumn id="3" name="Churned" dataDxfId="42"/>
    <tableColumn id="4" name="Retained" dataDxfId="43"/>
    <tableColumn id="5" name="Churn Rate" dataDxfId="44"/>
    <tableColumn id="6" name="Average Monthly Charges" dataDxfId="4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5" name="RegionalComparisonTable" displayName="RegionalComparisonTable" ref="A4:E10" totalsRowShown="0">
  <autoFilter xmlns:etc="http://www.wps.cn/officeDocument/2017/etCustomData" ref="A4:E10" etc:filterBottomFollowUsedRange="0"/>
  <tableColumns count="5">
    <tableColumn id="1" name="Region" dataDxfId="46"/>
    <tableColumn id="2" name="Total Customers" dataDxfId="47"/>
    <tableColumn id="3" name="Churned" dataDxfId="48"/>
    <tableColumn id="4" name="Retained" dataDxfId="49"/>
    <tableColumn id="5" name="Churn Rate" dataDxfId="5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6" name="CustomerSegmentsTable" displayName="CustomerSegmentsTable" ref="A4:F13" totalsRowShown="0">
  <autoFilter xmlns:etc="http://www.wps.cn/officeDocument/2017/etCustomData" ref="A4:F13" etc:filterBottomFollowUsedRange="0"/>
  <tableColumns count="6">
    <tableColumn id="1" name="Tenure Group" dataDxfId="51"/>
    <tableColumn id="2" name="Plan" dataDxfId="52"/>
    <tableColumn id="3" name="Total Customers" dataDxfId="53"/>
    <tableColumn id="4" name="Churned" dataDxfId="54"/>
    <tableColumn id="5" name="Retained" dataDxfId="55"/>
    <tableColumn id="6" name="Churn Rate" dataDxfId="5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7" name="FormulaAnalysisTable" displayName="FormulaAnalysisTable" ref="A4:D13" totalsRowShown="0">
  <autoFilter xmlns:etc="http://www.wps.cn/officeDocument/2017/etCustomData" ref="A4:D13" etc:filterBottomFollowUsedRange="0"/>
  <tableColumns count="4">
    <tableColumn id="1" name="Metric" dataDxfId="57"/>
    <tableColumn id="2" name="Excel Formula" dataDxfId="58"/>
    <tableColumn id="3" name="Calculated Result" dataDxfId="59"/>
    <tableColumn id="4" name="Purpose" dataDxfId="6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8" name="FeatureImportanceTable" displayName="FeatureImportanceTable" ref="A4:B19" totalsRowShown="0">
  <autoFilter xmlns:etc="http://www.wps.cn/officeDocument/2017/etCustomData" ref="A4:B19" etc:filterBottomFollowUsedRange="0"/>
  <tableColumns count="2">
    <tableColumn id="1" name="Feature" dataDxfId="61"/>
    <tableColumn id="2" name="Importance" dataDxfId="6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9" name="ReadMeTable" displayName="ReadMeTable" ref="A4:B12" totalsRowShown="0">
  <autoFilter xmlns:etc="http://www.wps.cn/officeDocument/2017/etCustomData" ref="A4:B12" etc:filterBottomFollowUsedRange="0"/>
  <tableColumns count="2">
    <tableColumn id="1" name="Item" dataDxfId="63"/>
    <tableColumn id="2" name="Explanation" dataDxfId="6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tabSelected="1" workbookViewId="0">
      <pane ySplit="3" topLeftCell="A4" activePane="bottomLeft" state="frozen"/>
      <selection/>
      <selection pane="bottomLeft" activeCell="H11" sqref="H11"/>
    </sheetView>
  </sheetViews>
  <sheetFormatPr defaultColWidth="9" defaultRowHeight="14.25" customHeight="1" outlineLevelCol="7"/>
  <cols>
    <col min="1" max="1" width="25" customWidth="1"/>
    <col min="2" max="2" width="22" customWidth="1"/>
    <col min="3" max="3" width="18" customWidth="1"/>
    <col min="4" max="16" width="15" customWidth="1"/>
  </cols>
  <sheetData>
    <row r="1" ht="33.75" customHeight="1" spans="1:7">
      <c r="A1" s="28" t="s">
        <v>0</v>
      </c>
    </row>
    <row r="2" ht="27.75" customHeight="1" spans="1:7">
      <c r="A2" s="29" t="s">
        <v>1</v>
      </c>
    </row>
    <row r="4" customHeight="1" spans="1:7">
      <c r="A4" s="36" t="s">
        <v>2</v>
      </c>
      <c r="C4" s="36" t="s">
        <v>3</v>
      </c>
      <c r="E4" s="36" t="s">
        <v>4</v>
      </c>
      <c r="G4" s="36" t="s">
        <v>5</v>
      </c>
    </row>
    <row r="5" ht="24" customHeight="1" spans="1:7">
      <c r="A5" s="37">
        <v>1000</v>
      </c>
      <c r="C5" s="37">
        <v>315</v>
      </c>
      <c r="E5" s="37">
        <v>685</v>
      </c>
      <c r="G5" s="38">
        <v>0.315</v>
      </c>
    </row>
    <row r="6" ht="19.5" customHeight="1"/>
    <row r="9" ht="15" customHeight="1" spans="1:7">
      <c r="A9" s="39" t="s">
        <v>6</v>
      </c>
    </row>
    <row r="10" ht="27.75" customHeight="1" spans="1:7">
      <c r="A10" s="30" t="s">
        <v>7</v>
      </c>
      <c r="B10" s="30" t="s">
        <v>8</v>
      </c>
      <c r="C10" s="30" t="s">
        <v>9</v>
      </c>
    </row>
    <row r="11" ht="33.75" customHeight="1" spans="1:7">
      <c r="A11" s="40" t="s">
        <v>10</v>
      </c>
      <c r="B11" s="40" t="s">
        <v>11</v>
      </c>
      <c r="C11" s="40" t="s">
        <v>12</v>
      </c>
    </row>
    <row r="12" ht="33.75" customHeight="1" spans="1:7">
      <c r="A12" s="40" t="s">
        <v>13</v>
      </c>
      <c r="B12" s="40" t="s">
        <v>14</v>
      </c>
      <c r="C12" s="40" t="s">
        <v>15</v>
      </c>
    </row>
    <row r="13" ht="33.75" customHeight="1" spans="1:7">
      <c r="A13" s="40" t="s">
        <v>16</v>
      </c>
      <c r="B13" s="40" t="s">
        <v>17</v>
      </c>
      <c r="C13" s="40" t="s">
        <v>18</v>
      </c>
    </row>
    <row r="14" ht="33.75" customHeight="1" spans="1:7">
      <c r="A14" s="40" t="s">
        <v>19</v>
      </c>
      <c r="B14" s="40" t="s">
        <v>20</v>
      </c>
      <c r="C14" s="40" t="s">
        <v>21</v>
      </c>
    </row>
    <row r="17" ht="15" customHeight="1" spans="1:1">
      <c r="A17" s="39" t="s">
        <v>22</v>
      </c>
    </row>
    <row r="18" ht="30" customHeight="1" spans="1:1">
      <c r="A18" s="41" t="s">
        <v>23</v>
      </c>
    </row>
    <row r="19" ht="30" customHeight="1" spans="1:1">
      <c r="A19" s="41" t="s">
        <v>24</v>
      </c>
    </row>
    <row r="20" ht="30" customHeight="1" spans="1:1">
      <c r="A20" s="41" t="s">
        <v>25</v>
      </c>
    </row>
  </sheetData>
  <mergeCells count="15">
    <mergeCell ref="A1:H1"/>
    <mergeCell ref="A2:H2"/>
    <mergeCell ref="A4:B4"/>
    <mergeCell ref="C4:D4"/>
    <mergeCell ref="E4:F4"/>
    <mergeCell ref="G4:H4"/>
    <mergeCell ref="A9:H9"/>
    <mergeCell ref="A17:H17"/>
    <mergeCell ref="A18:H18"/>
    <mergeCell ref="A19:H19"/>
    <mergeCell ref="A20:H20"/>
    <mergeCell ref="A5:B6"/>
    <mergeCell ref="C5:D6"/>
    <mergeCell ref="E5:F6"/>
    <mergeCell ref="G5:H6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1004"/>
  <sheetViews>
    <sheetView workbookViewId="0">
      <pane ySplit="4" topLeftCell="A5" activePane="bottomLeft" state="frozen"/>
      <selection/>
      <selection pane="bottomLeft" activeCell="A4" sqref="A4:X1004"/>
    </sheetView>
  </sheetViews>
  <sheetFormatPr defaultColWidth="9" defaultRowHeight="14.25" customHeight="1"/>
  <cols>
    <col min="1" max="1" width="28" customWidth="1"/>
    <col min="2" max="6" width="12" customWidth="1"/>
    <col min="7" max="7" width="15" customWidth="1"/>
    <col min="8" max="9" width="12" customWidth="1"/>
    <col min="10" max="10" width="17" customWidth="1"/>
    <col min="11" max="11" width="15" customWidth="1"/>
    <col min="12" max="12" width="16" customWidth="1"/>
    <col min="13" max="13" width="12" customWidth="1"/>
    <col min="14" max="14" width="17" customWidth="1"/>
    <col min="15" max="15" width="22" customWidth="1"/>
    <col min="16" max="16" width="16" customWidth="1"/>
    <col min="17" max="17" width="12" customWidth="1"/>
    <col min="18" max="18" width="14" customWidth="1"/>
    <col min="19" max="19" width="18" customWidth="1"/>
    <col min="20" max="20" width="16" customWidth="1"/>
    <col min="21" max="21" width="19" customWidth="1"/>
    <col min="22" max="22" width="21" customWidth="1"/>
    <col min="23" max="23" width="14" customWidth="1"/>
    <col min="24" max="24" width="17" customWidth="1"/>
  </cols>
  <sheetData>
    <row r="1" ht="33.75" customHeight="1" spans="1:24">
      <c r="A1" s="28" t="s">
        <v>26</v>
      </c>
    </row>
    <row r="2" ht="27.75" customHeight="1" spans="1:24">
      <c r="A2" s="29" t="s">
        <v>27</v>
      </c>
    </row>
    <row r="4" ht="27.75" customHeight="1" spans="1:24">
      <c r="A4" s="30" t="s">
        <v>28</v>
      </c>
      <c r="B4" s="30" t="s">
        <v>29</v>
      </c>
      <c r="C4" s="30" t="s">
        <v>30</v>
      </c>
      <c r="D4" s="30" t="s">
        <v>31</v>
      </c>
      <c r="E4" s="30" t="s">
        <v>32</v>
      </c>
      <c r="F4" s="30" t="s">
        <v>33</v>
      </c>
      <c r="G4" s="30" t="s">
        <v>34</v>
      </c>
      <c r="H4" s="30" t="s">
        <v>35</v>
      </c>
      <c r="I4" s="30" t="s">
        <v>36</v>
      </c>
      <c r="J4" s="30" t="s">
        <v>37</v>
      </c>
      <c r="K4" s="30" t="s">
        <v>38</v>
      </c>
      <c r="L4" s="30" t="s">
        <v>39</v>
      </c>
      <c r="M4" s="30" t="s">
        <v>40</v>
      </c>
      <c r="N4" s="30" t="s">
        <v>41</v>
      </c>
      <c r="O4" s="30" t="s">
        <v>42</v>
      </c>
      <c r="P4" s="30" t="s">
        <v>43</v>
      </c>
      <c r="Q4" s="30" t="s">
        <v>44</v>
      </c>
      <c r="R4" s="30" t="s">
        <v>45</v>
      </c>
      <c r="S4" s="30" t="s">
        <v>46</v>
      </c>
      <c r="T4" s="30" t="s">
        <v>47</v>
      </c>
      <c r="U4" s="30" t="s">
        <v>48</v>
      </c>
      <c r="V4" s="30" t="s">
        <v>49</v>
      </c>
      <c r="W4" s="30" t="s">
        <v>50</v>
      </c>
      <c r="X4" s="30" t="s">
        <v>51</v>
      </c>
    </row>
    <row r="5" customHeight="1" spans="1:24">
      <c r="A5" t="s">
        <v>52</v>
      </c>
      <c r="B5">
        <v>64</v>
      </c>
      <c r="C5">
        <v>23</v>
      </c>
      <c r="D5" t="s">
        <v>53</v>
      </c>
      <c r="E5" t="s">
        <v>54</v>
      </c>
      <c r="F5" t="s">
        <v>55</v>
      </c>
      <c r="G5">
        <v>160</v>
      </c>
      <c r="H5">
        <v>34.22</v>
      </c>
      <c r="I5">
        <v>135</v>
      </c>
      <c r="J5">
        <v>423.67</v>
      </c>
      <c r="K5">
        <v>1</v>
      </c>
      <c r="L5" t="s">
        <v>56</v>
      </c>
      <c r="M5">
        <v>4</v>
      </c>
      <c r="N5">
        <v>5</v>
      </c>
      <c r="O5">
        <v>24.7</v>
      </c>
      <c r="P5">
        <v>2</v>
      </c>
      <c r="Q5">
        <v>0</v>
      </c>
      <c r="R5">
        <v>2</v>
      </c>
      <c r="S5" t="s">
        <v>57</v>
      </c>
      <c r="T5">
        <v>1</v>
      </c>
      <c r="U5">
        <v>1</v>
      </c>
      <c r="V5">
        <v>0</v>
      </c>
      <c r="W5">
        <v>1</v>
      </c>
      <c r="X5" t="s">
        <v>58</v>
      </c>
    </row>
    <row r="6" customHeight="1" spans="1:24">
      <c r="A6" t="s">
        <v>59</v>
      </c>
      <c r="B6">
        <v>48</v>
      </c>
      <c r="C6">
        <v>61</v>
      </c>
      <c r="D6" t="s">
        <v>60</v>
      </c>
      <c r="E6" t="s">
        <v>61</v>
      </c>
      <c r="F6" t="s">
        <v>58</v>
      </c>
      <c r="G6">
        <v>395</v>
      </c>
      <c r="H6">
        <v>17.92</v>
      </c>
      <c r="I6">
        <v>207</v>
      </c>
      <c r="J6">
        <v>847.86</v>
      </c>
      <c r="K6">
        <v>0</v>
      </c>
      <c r="L6" t="s">
        <v>62</v>
      </c>
      <c r="M6">
        <v>0</v>
      </c>
      <c r="N6">
        <v>0</v>
      </c>
      <c r="O6">
        <v>13.4</v>
      </c>
      <c r="P6">
        <v>0</v>
      </c>
      <c r="Q6">
        <v>1</v>
      </c>
      <c r="R6">
        <v>0</v>
      </c>
      <c r="S6" t="s">
        <v>63</v>
      </c>
      <c r="T6">
        <v>0</v>
      </c>
      <c r="U6">
        <v>0</v>
      </c>
      <c r="V6">
        <v>0</v>
      </c>
      <c r="W6">
        <v>0</v>
      </c>
      <c r="X6" t="s">
        <v>58</v>
      </c>
    </row>
    <row r="7" customHeight="1" spans="1:24">
      <c r="A7" t="s">
        <v>64</v>
      </c>
      <c r="B7">
        <v>27</v>
      </c>
      <c r="C7">
        <v>3</v>
      </c>
      <c r="D7" t="s">
        <v>53</v>
      </c>
      <c r="E7" t="s">
        <v>65</v>
      </c>
      <c r="F7" t="s">
        <v>55</v>
      </c>
      <c r="G7">
        <v>594</v>
      </c>
      <c r="H7">
        <v>13.46</v>
      </c>
      <c r="I7">
        <v>199</v>
      </c>
      <c r="J7">
        <v>503.83</v>
      </c>
      <c r="K7">
        <v>0</v>
      </c>
      <c r="L7" t="s">
        <v>62</v>
      </c>
      <c r="M7">
        <v>0</v>
      </c>
      <c r="N7">
        <v>1</v>
      </c>
      <c r="O7">
        <v>30.9</v>
      </c>
      <c r="P7">
        <v>0</v>
      </c>
      <c r="Q7">
        <v>1</v>
      </c>
      <c r="R7">
        <v>0</v>
      </c>
      <c r="S7" t="s">
        <v>66</v>
      </c>
      <c r="T7">
        <v>0</v>
      </c>
      <c r="U7">
        <v>0</v>
      </c>
      <c r="V7">
        <v>0</v>
      </c>
      <c r="W7">
        <v>1</v>
      </c>
      <c r="X7" t="s">
        <v>55</v>
      </c>
    </row>
    <row r="8" customHeight="1" spans="1:24">
      <c r="A8" t="s">
        <v>67</v>
      </c>
      <c r="B8">
        <v>27</v>
      </c>
      <c r="C8">
        <v>33</v>
      </c>
      <c r="D8" t="s">
        <v>53</v>
      </c>
      <c r="E8" t="s">
        <v>54</v>
      </c>
      <c r="F8" t="s">
        <v>55</v>
      </c>
      <c r="G8">
        <v>424</v>
      </c>
      <c r="H8">
        <v>32.63</v>
      </c>
      <c r="I8">
        <v>121</v>
      </c>
      <c r="J8">
        <v>507.34</v>
      </c>
      <c r="K8">
        <v>0</v>
      </c>
      <c r="L8" t="s">
        <v>62</v>
      </c>
      <c r="M8">
        <v>2</v>
      </c>
      <c r="N8">
        <v>2</v>
      </c>
      <c r="O8">
        <v>29</v>
      </c>
      <c r="P8">
        <v>2</v>
      </c>
      <c r="Q8">
        <v>0</v>
      </c>
      <c r="R8">
        <v>0</v>
      </c>
      <c r="S8" t="s">
        <v>63</v>
      </c>
      <c r="T8">
        <v>1</v>
      </c>
      <c r="U8">
        <v>0</v>
      </c>
      <c r="V8">
        <v>0</v>
      </c>
      <c r="W8">
        <v>1</v>
      </c>
      <c r="X8" t="s">
        <v>55</v>
      </c>
    </row>
    <row r="9" customHeight="1" spans="1:24">
      <c r="A9" t="s">
        <v>68</v>
      </c>
      <c r="B9">
        <v>67</v>
      </c>
      <c r="C9">
        <v>58</v>
      </c>
      <c r="D9" t="s">
        <v>60</v>
      </c>
      <c r="E9" t="s">
        <v>69</v>
      </c>
      <c r="F9" t="s">
        <v>58</v>
      </c>
      <c r="G9">
        <v>370</v>
      </c>
      <c r="H9">
        <v>26</v>
      </c>
      <c r="I9">
        <v>0</v>
      </c>
      <c r="J9">
        <v>591.87</v>
      </c>
      <c r="K9">
        <v>0</v>
      </c>
      <c r="L9" t="s">
        <v>62</v>
      </c>
      <c r="M9">
        <v>0</v>
      </c>
      <c r="N9">
        <v>0</v>
      </c>
      <c r="O9">
        <v>39.4</v>
      </c>
      <c r="P9">
        <v>0</v>
      </c>
      <c r="Q9">
        <v>0</v>
      </c>
      <c r="R9">
        <v>0</v>
      </c>
      <c r="S9" t="s">
        <v>63</v>
      </c>
      <c r="T9">
        <v>0</v>
      </c>
      <c r="U9">
        <v>0</v>
      </c>
      <c r="V9">
        <v>0</v>
      </c>
      <c r="W9">
        <v>0</v>
      </c>
      <c r="X9" t="s">
        <v>58</v>
      </c>
    </row>
    <row r="10" customHeight="1" spans="1:24">
      <c r="A10" t="s">
        <v>70</v>
      </c>
      <c r="B10">
        <v>43</v>
      </c>
      <c r="C10">
        <v>69</v>
      </c>
      <c r="D10" t="s">
        <v>60</v>
      </c>
      <c r="E10" t="s">
        <v>65</v>
      </c>
      <c r="F10" t="s">
        <v>55</v>
      </c>
      <c r="G10">
        <v>269</v>
      </c>
      <c r="H10">
        <v>21.16</v>
      </c>
      <c r="I10">
        <v>43</v>
      </c>
      <c r="J10">
        <v>820.42</v>
      </c>
      <c r="K10">
        <v>0</v>
      </c>
      <c r="L10" t="s">
        <v>62</v>
      </c>
      <c r="M10">
        <v>0</v>
      </c>
      <c r="N10">
        <v>1</v>
      </c>
      <c r="O10">
        <v>23.9</v>
      </c>
      <c r="P10">
        <v>1</v>
      </c>
      <c r="Q10">
        <v>0</v>
      </c>
      <c r="R10">
        <v>1</v>
      </c>
      <c r="S10" t="s">
        <v>63</v>
      </c>
      <c r="T10">
        <v>0</v>
      </c>
      <c r="U10">
        <v>0</v>
      </c>
      <c r="V10">
        <v>0</v>
      </c>
      <c r="W10">
        <v>1</v>
      </c>
      <c r="X10" t="s">
        <v>55</v>
      </c>
    </row>
    <row r="11" customHeight="1" spans="1:24">
      <c r="A11" t="s">
        <v>71</v>
      </c>
      <c r="B11">
        <v>60</v>
      </c>
      <c r="C11">
        <v>19</v>
      </c>
      <c r="D11" t="s">
        <v>72</v>
      </c>
      <c r="E11" t="s">
        <v>54</v>
      </c>
      <c r="F11" t="s">
        <v>55</v>
      </c>
      <c r="G11">
        <v>664</v>
      </c>
      <c r="H11">
        <v>14.78</v>
      </c>
      <c r="I11">
        <v>173</v>
      </c>
      <c r="J11">
        <v>948.36</v>
      </c>
      <c r="K11">
        <v>0</v>
      </c>
      <c r="L11" t="s">
        <v>62</v>
      </c>
      <c r="M11">
        <v>0</v>
      </c>
      <c r="N11">
        <v>0</v>
      </c>
      <c r="O11">
        <v>19.1</v>
      </c>
      <c r="P11">
        <v>0</v>
      </c>
      <c r="Q11">
        <v>1</v>
      </c>
      <c r="R11">
        <v>0</v>
      </c>
      <c r="S11" t="s">
        <v>57</v>
      </c>
      <c r="T11">
        <v>0</v>
      </c>
      <c r="U11">
        <v>0</v>
      </c>
      <c r="V11">
        <v>0</v>
      </c>
      <c r="W11">
        <v>1</v>
      </c>
      <c r="X11" t="s">
        <v>58</v>
      </c>
    </row>
    <row r="12" customHeight="1" spans="1:24">
      <c r="A12" t="s">
        <v>73</v>
      </c>
      <c r="B12">
        <v>26</v>
      </c>
      <c r="C12">
        <v>47</v>
      </c>
      <c r="D12" t="s">
        <v>53</v>
      </c>
      <c r="E12" t="s">
        <v>54</v>
      </c>
      <c r="F12" t="s">
        <v>55</v>
      </c>
      <c r="G12">
        <v>246</v>
      </c>
      <c r="H12">
        <v>21.32</v>
      </c>
      <c r="I12">
        <v>11</v>
      </c>
      <c r="J12">
        <v>392.07</v>
      </c>
      <c r="K12">
        <v>0</v>
      </c>
      <c r="L12" t="s">
        <v>62</v>
      </c>
      <c r="M12">
        <v>1</v>
      </c>
      <c r="N12">
        <v>1</v>
      </c>
      <c r="O12">
        <v>33.5</v>
      </c>
      <c r="P12">
        <v>0</v>
      </c>
      <c r="Q12">
        <v>1</v>
      </c>
      <c r="R12">
        <v>0</v>
      </c>
      <c r="S12" t="s">
        <v>63</v>
      </c>
      <c r="T12">
        <v>1</v>
      </c>
      <c r="U12">
        <v>0</v>
      </c>
      <c r="V12">
        <v>0</v>
      </c>
      <c r="W12">
        <v>1</v>
      </c>
      <c r="X12" t="s">
        <v>58</v>
      </c>
    </row>
    <row r="13" customHeight="1" spans="1:24">
      <c r="A13" t="s">
        <v>74</v>
      </c>
      <c r="B13">
        <v>43</v>
      </c>
      <c r="C13">
        <v>14</v>
      </c>
      <c r="D13" t="s">
        <v>60</v>
      </c>
      <c r="E13" t="s">
        <v>69</v>
      </c>
      <c r="F13" t="s">
        <v>58</v>
      </c>
      <c r="G13">
        <v>291</v>
      </c>
      <c r="H13">
        <v>17.78</v>
      </c>
      <c r="I13">
        <v>97</v>
      </c>
      <c r="J13">
        <v>896.18</v>
      </c>
      <c r="K13">
        <v>0</v>
      </c>
      <c r="L13" t="s">
        <v>62</v>
      </c>
      <c r="M13">
        <v>0</v>
      </c>
      <c r="N13">
        <v>0</v>
      </c>
      <c r="O13">
        <v>14.5</v>
      </c>
      <c r="P13">
        <v>3</v>
      </c>
      <c r="Q13">
        <v>0</v>
      </c>
      <c r="R13">
        <v>1</v>
      </c>
      <c r="S13" t="s">
        <v>57</v>
      </c>
      <c r="T13">
        <v>0</v>
      </c>
      <c r="U13">
        <v>0</v>
      </c>
      <c r="V13">
        <v>0</v>
      </c>
      <c r="W13">
        <v>0</v>
      </c>
      <c r="X13" t="s">
        <v>58</v>
      </c>
    </row>
    <row r="14" customHeight="1" spans="1:24">
      <c r="A14" t="s">
        <v>75</v>
      </c>
      <c r="B14">
        <v>22</v>
      </c>
      <c r="C14">
        <v>9</v>
      </c>
      <c r="D14" t="s">
        <v>60</v>
      </c>
      <c r="E14" t="s">
        <v>76</v>
      </c>
      <c r="F14" t="s">
        <v>58</v>
      </c>
      <c r="G14">
        <v>486</v>
      </c>
      <c r="H14">
        <v>11.36</v>
      </c>
      <c r="I14">
        <v>144</v>
      </c>
      <c r="J14">
        <v>665.39</v>
      </c>
      <c r="K14">
        <v>2</v>
      </c>
      <c r="L14" t="s">
        <v>56</v>
      </c>
      <c r="M14">
        <v>2</v>
      </c>
      <c r="N14">
        <v>3</v>
      </c>
      <c r="O14">
        <v>37</v>
      </c>
      <c r="P14">
        <v>0</v>
      </c>
      <c r="Q14">
        <v>0</v>
      </c>
      <c r="R14">
        <v>0</v>
      </c>
      <c r="S14" t="s">
        <v>57</v>
      </c>
      <c r="T14">
        <v>1</v>
      </c>
      <c r="U14">
        <v>1</v>
      </c>
      <c r="V14">
        <v>0</v>
      </c>
      <c r="W14">
        <v>0</v>
      </c>
      <c r="X14" t="s">
        <v>58</v>
      </c>
    </row>
    <row r="15" customHeight="1" spans="1:24">
      <c r="A15" t="s">
        <v>77</v>
      </c>
      <c r="B15">
        <v>30</v>
      </c>
      <c r="C15">
        <v>26</v>
      </c>
      <c r="D15" t="s">
        <v>60</v>
      </c>
      <c r="E15" t="s">
        <v>61</v>
      </c>
      <c r="F15" t="s">
        <v>55</v>
      </c>
      <c r="G15">
        <v>122</v>
      </c>
      <c r="H15">
        <v>19.29</v>
      </c>
      <c r="I15">
        <v>223</v>
      </c>
      <c r="J15">
        <v>773.63</v>
      </c>
      <c r="K15">
        <v>1</v>
      </c>
      <c r="L15" t="s">
        <v>56</v>
      </c>
      <c r="M15">
        <v>0</v>
      </c>
      <c r="N15">
        <v>2</v>
      </c>
      <c r="O15">
        <v>37</v>
      </c>
      <c r="P15">
        <v>1</v>
      </c>
      <c r="Q15">
        <v>1</v>
      </c>
      <c r="R15">
        <v>0</v>
      </c>
      <c r="S15" t="s">
        <v>63</v>
      </c>
      <c r="T15">
        <v>0</v>
      </c>
      <c r="U15">
        <v>1</v>
      </c>
      <c r="V15">
        <v>0</v>
      </c>
      <c r="W15">
        <v>1</v>
      </c>
      <c r="X15" t="s">
        <v>55</v>
      </c>
    </row>
    <row r="16" customHeight="1" spans="1:24">
      <c r="A16" t="s">
        <v>78</v>
      </c>
      <c r="B16">
        <v>24</v>
      </c>
      <c r="C16">
        <v>64</v>
      </c>
      <c r="D16" t="s">
        <v>60</v>
      </c>
      <c r="E16" t="s">
        <v>65</v>
      </c>
      <c r="F16" t="s">
        <v>58</v>
      </c>
      <c r="G16">
        <v>591</v>
      </c>
      <c r="H16">
        <v>20.65</v>
      </c>
      <c r="I16">
        <v>80</v>
      </c>
      <c r="J16">
        <v>655.68</v>
      </c>
      <c r="K16">
        <v>1</v>
      </c>
      <c r="L16" t="s">
        <v>56</v>
      </c>
      <c r="M16">
        <v>0</v>
      </c>
      <c r="N16">
        <v>1</v>
      </c>
      <c r="O16">
        <v>39.1</v>
      </c>
      <c r="P16">
        <v>1</v>
      </c>
      <c r="Q16">
        <v>1</v>
      </c>
      <c r="R16">
        <v>1</v>
      </c>
      <c r="S16" t="s">
        <v>63</v>
      </c>
      <c r="T16">
        <v>0</v>
      </c>
      <c r="U16">
        <v>1</v>
      </c>
      <c r="V16">
        <v>0</v>
      </c>
      <c r="W16">
        <v>0</v>
      </c>
      <c r="X16" t="s">
        <v>58</v>
      </c>
    </row>
    <row r="17" customHeight="1" spans="1:24">
      <c r="A17" t="s">
        <v>79</v>
      </c>
      <c r="B17">
        <v>30</v>
      </c>
      <c r="C17">
        <v>50</v>
      </c>
      <c r="D17" t="s">
        <v>60</v>
      </c>
      <c r="E17" t="s">
        <v>54</v>
      </c>
      <c r="F17" t="s">
        <v>55</v>
      </c>
      <c r="G17">
        <v>494</v>
      </c>
      <c r="H17">
        <v>14.25</v>
      </c>
      <c r="I17">
        <v>75</v>
      </c>
      <c r="J17">
        <v>727.22</v>
      </c>
      <c r="K17">
        <v>1</v>
      </c>
      <c r="L17" t="s">
        <v>56</v>
      </c>
      <c r="M17">
        <v>0</v>
      </c>
      <c r="N17">
        <v>1</v>
      </c>
      <c r="O17">
        <v>28.5</v>
      </c>
      <c r="P17">
        <v>0</v>
      </c>
      <c r="Q17">
        <v>1</v>
      </c>
      <c r="R17">
        <v>0</v>
      </c>
      <c r="S17" t="s">
        <v>63</v>
      </c>
      <c r="T17">
        <v>0</v>
      </c>
      <c r="U17">
        <v>1</v>
      </c>
      <c r="V17">
        <v>0</v>
      </c>
      <c r="W17">
        <v>1</v>
      </c>
      <c r="X17" t="s">
        <v>55</v>
      </c>
    </row>
    <row r="18" customHeight="1" spans="1:24">
      <c r="A18" t="s">
        <v>80</v>
      </c>
      <c r="B18">
        <v>53</v>
      </c>
      <c r="C18">
        <v>36</v>
      </c>
      <c r="D18" t="s">
        <v>72</v>
      </c>
      <c r="E18" t="s">
        <v>54</v>
      </c>
      <c r="F18" t="s">
        <v>58</v>
      </c>
      <c r="G18">
        <v>535</v>
      </c>
      <c r="H18">
        <v>27.04</v>
      </c>
      <c r="I18">
        <v>116</v>
      </c>
      <c r="J18">
        <v>1181.82</v>
      </c>
      <c r="K18">
        <v>0</v>
      </c>
      <c r="L18" t="s">
        <v>62</v>
      </c>
      <c r="M18">
        <v>0</v>
      </c>
      <c r="N18">
        <v>1</v>
      </c>
      <c r="O18">
        <v>18.2</v>
      </c>
      <c r="P18">
        <v>0</v>
      </c>
      <c r="Q18">
        <v>1</v>
      </c>
      <c r="R18">
        <v>1</v>
      </c>
      <c r="S18" t="s">
        <v>63</v>
      </c>
      <c r="T18">
        <v>0</v>
      </c>
      <c r="U18">
        <v>0</v>
      </c>
      <c r="V18">
        <v>0</v>
      </c>
      <c r="W18">
        <v>0</v>
      </c>
      <c r="X18" t="s">
        <v>58</v>
      </c>
    </row>
    <row r="19" customHeight="1" spans="1:24">
      <c r="A19" t="s">
        <v>81</v>
      </c>
      <c r="B19">
        <v>18</v>
      </c>
      <c r="C19">
        <v>21</v>
      </c>
      <c r="D19" t="s">
        <v>53</v>
      </c>
      <c r="E19" t="s">
        <v>61</v>
      </c>
      <c r="F19" t="s">
        <v>55</v>
      </c>
      <c r="G19">
        <v>484</v>
      </c>
      <c r="H19">
        <v>30.89</v>
      </c>
      <c r="I19">
        <v>145</v>
      </c>
      <c r="J19">
        <v>361.84</v>
      </c>
      <c r="K19">
        <v>1</v>
      </c>
      <c r="L19" t="s">
        <v>56</v>
      </c>
      <c r="M19">
        <v>0</v>
      </c>
      <c r="N19">
        <v>1</v>
      </c>
      <c r="O19">
        <v>25.3</v>
      </c>
      <c r="P19">
        <v>0</v>
      </c>
      <c r="Q19">
        <v>0</v>
      </c>
      <c r="R19">
        <v>0</v>
      </c>
      <c r="S19" t="s">
        <v>57</v>
      </c>
      <c r="T19">
        <v>0</v>
      </c>
      <c r="U19">
        <v>1</v>
      </c>
      <c r="V19">
        <v>0</v>
      </c>
      <c r="W19">
        <v>1</v>
      </c>
      <c r="X19" t="s">
        <v>55</v>
      </c>
    </row>
    <row r="20" customHeight="1" spans="1:24">
      <c r="A20" t="s">
        <v>82</v>
      </c>
      <c r="B20">
        <v>29</v>
      </c>
      <c r="C20">
        <v>11</v>
      </c>
      <c r="D20" t="s">
        <v>53</v>
      </c>
      <c r="E20" t="s">
        <v>61</v>
      </c>
      <c r="F20" t="s">
        <v>58</v>
      </c>
      <c r="G20">
        <v>376</v>
      </c>
      <c r="H20">
        <v>27.7</v>
      </c>
      <c r="I20">
        <v>109</v>
      </c>
      <c r="J20">
        <v>358.08</v>
      </c>
      <c r="K20">
        <v>0</v>
      </c>
      <c r="L20" t="s">
        <v>62</v>
      </c>
      <c r="M20">
        <v>0</v>
      </c>
      <c r="N20">
        <v>0</v>
      </c>
      <c r="O20">
        <v>28.6</v>
      </c>
      <c r="P20">
        <v>0</v>
      </c>
      <c r="Q20">
        <v>0</v>
      </c>
      <c r="R20">
        <v>1</v>
      </c>
      <c r="S20" t="s">
        <v>57</v>
      </c>
      <c r="T20">
        <v>0</v>
      </c>
      <c r="U20">
        <v>0</v>
      </c>
      <c r="V20">
        <v>0</v>
      </c>
      <c r="W20">
        <v>0</v>
      </c>
      <c r="X20" t="s">
        <v>58</v>
      </c>
    </row>
    <row r="21" customHeight="1" spans="1:24">
      <c r="A21" t="s">
        <v>83</v>
      </c>
      <c r="B21">
        <v>58</v>
      </c>
      <c r="C21">
        <v>20</v>
      </c>
      <c r="D21" t="s">
        <v>60</v>
      </c>
      <c r="E21" t="s">
        <v>76</v>
      </c>
      <c r="F21" t="s">
        <v>58</v>
      </c>
      <c r="G21">
        <v>241</v>
      </c>
      <c r="H21">
        <v>15.24</v>
      </c>
      <c r="I21">
        <v>193</v>
      </c>
      <c r="J21">
        <v>618.5</v>
      </c>
      <c r="K21">
        <v>1</v>
      </c>
      <c r="L21" t="s">
        <v>56</v>
      </c>
      <c r="M21">
        <v>0</v>
      </c>
      <c r="N21">
        <v>1</v>
      </c>
      <c r="O21">
        <v>17.3</v>
      </c>
      <c r="P21">
        <v>1</v>
      </c>
      <c r="Q21">
        <v>1</v>
      </c>
      <c r="R21">
        <v>0</v>
      </c>
      <c r="S21" t="s">
        <v>57</v>
      </c>
      <c r="T21">
        <v>0</v>
      </c>
      <c r="U21">
        <v>1</v>
      </c>
      <c r="V21">
        <v>0</v>
      </c>
      <c r="W21">
        <v>0</v>
      </c>
      <c r="X21" t="s">
        <v>58</v>
      </c>
    </row>
    <row r="22" customHeight="1" spans="1:24">
      <c r="A22" t="s">
        <v>84</v>
      </c>
      <c r="B22">
        <v>26</v>
      </c>
      <c r="C22">
        <v>11</v>
      </c>
      <c r="D22" t="s">
        <v>72</v>
      </c>
      <c r="E22" t="s">
        <v>69</v>
      </c>
      <c r="F22" t="s">
        <v>58</v>
      </c>
      <c r="G22">
        <v>379</v>
      </c>
      <c r="H22">
        <v>25.56</v>
      </c>
      <c r="I22">
        <v>64</v>
      </c>
      <c r="J22">
        <v>1057.45</v>
      </c>
      <c r="K22">
        <v>1</v>
      </c>
      <c r="L22" t="s">
        <v>56</v>
      </c>
      <c r="M22">
        <v>0</v>
      </c>
      <c r="N22">
        <v>0</v>
      </c>
      <c r="O22">
        <v>23.7</v>
      </c>
      <c r="P22">
        <v>2</v>
      </c>
      <c r="Q22">
        <v>1</v>
      </c>
      <c r="R22">
        <v>0</v>
      </c>
      <c r="S22" t="s">
        <v>57</v>
      </c>
      <c r="T22">
        <v>0</v>
      </c>
      <c r="U22">
        <v>1</v>
      </c>
      <c r="V22">
        <v>0</v>
      </c>
      <c r="W22">
        <v>0</v>
      </c>
      <c r="X22" t="s">
        <v>58</v>
      </c>
    </row>
    <row r="23" customHeight="1" spans="1:24">
      <c r="A23" t="s">
        <v>85</v>
      </c>
      <c r="B23">
        <v>50</v>
      </c>
      <c r="C23">
        <v>14</v>
      </c>
      <c r="D23" t="s">
        <v>53</v>
      </c>
      <c r="E23" t="s">
        <v>54</v>
      </c>
      <c r="F23" t="s">
        <v>58</v>
      </c>
      <c r="G23">
        <v>254</v>
      </c>
      <c r="H23">
        <v>18.78</v>
      </c>
      <c r="I23">
        <v>128</v>
      </c>
      <c r="J23">
        <v>400.81</v>
      </c>
      <c r="K23">
        <v>1</v>
      </c>
      <c r="L23" t="s">
        <v>56</v>
      </c>
      <c r="M23">
        <v>1</v>
      </c>
      <c r="N23">
        <v>2</v>
      </c>
      <c r="O23">
        <v>31</v>
      </c>
      <c r="P23">
        <v>2</v>
      </c>
      <c r="Q23">
        <v>0</v>
      </c>
      <c r="R23">
        <v>0</v>
      </c>
      <c r="S23" t="s">
        <v>57</v>
      </c>
      <c r="T23">
        <v>1</v>
      </c>
      <c r="U23">
        <v>1</v>
      </c>
      <c r="V23">
        <v>0</v>
      </c>
      <c r="W23">
        <v>0</v>
      </c>
      <c r="X23" t="s">
        <v>58</v>
      </c>
    </row>
    <row r="24" customHeight="1" spans="1:24">
      <c r="A24" t="s">
        <v>86</v>
      </c>
      <c r="B24">
        <v>68</v>
      </c>
      <c r="C24">
        <v>50</v>
      </c>
      <c r="D24" t="s">
        <v>60</v>
      </c>
      <c r="E24" t="s">
        <v>54</v>
      </c>
      <c r="F24" t="s">
        <v>58</v>
      </c>
      <c r="G24">
        <v>473</v>
      </c>
      <c r="H24">
        <v>5.64</v>
      </c>
      <c r="I24">
        <v>151</v>
      </c>
      <c r="J24">
        <v>956.39</v>
      </c>
      <c r="K24">
        <v>0</v>
      </c>
      <c r="L24" t="s">
        <v>62</v>
      </c>
      <c r="M24">
        <v>0</v>
      </c>
      <c r="N24">
        <v>2</v>
      </c>
      <c r="O24">
        <v>13.3</v>
      </c>
      <c r="P24">
        <v>0</v>
      </c>
      <c r="Q24">
        <v>0</v>
      </c>
      <c r="R24">
        <v>0</v>
      </c>
      <c r="S24" t="s">
        <v>63</v>
      </c>
      <c r="T24">
        <v>0</v>
      </c>
      <c r="U24">
        <v>0</v>
      </c>
      <c r="V24">
        <v>0</v>
      </c>
      <c r="W24">
        <v>0</v>
      </c>
      <c r="X24" t="s">
        <v>58</v>
      </c>
    </row>
    <row r="25" customHeight="1" spans="1:24">
      <c r="A25" t="s">
        <v>87</v>
      </c>
      <c r="B25">
        <v>63</v>
      </c>
      <c r="C25">
        <v>10</v>
      </c>
      <c r="D25" t="s">
        <v>72</v>
      </c>
      <c r="E25" t="s">
        <v>54</v>
      </c>
      <c r="F25" t="s">
        <v>58</v>
      </c>
      <c r="G25">
        <v>521</v>
      </c>
      <c r="H25">
        <v>17.41</v>
      </c>
      <c r="I25">
        <v>92</v>
      </c>
      <c r="J25">
        <v>1148.2</v>
      </c>
      <c r="K25">
        <v>2</v>
      </c>
      <c r="L25" t="s">
        <v>56</v>
      </c>
      <c r="M25">
        <v>1</v>
      </c>
      <c r="N25">
        <v>1</v>
      </c>
      <c r="O25">
        <v>46.6</v>
      </c>
      <c r="P25">
        <v>1</v>
      </c>
      <c r="Q25">
        <v>1</v>
      </c>
      <c r="R25">
        <v>2</v>
      </c>
      <c r="S25" t="s">
        <v>57</v>
      </c>
      <c r="T25">
        <v>1</v>
      </c>
      <c r="U25">
        <v>1</v>
      </c>
      <c r="V25">
        <v>1</v>
      </c>
      <c r="W25">
        <v>0</v>
      </c>
      <c r="X25" t="s">
        <v>58</v>
      </c>
    </row>
    <row r="26" customHeight="1" spans="1:24">
      <c r="A26" t="s">
        <v>88</v>
      </c>
      <c r="B26">
        <v>25</v>
      </c>
      <c r="C26">
        <v>4</v>
      </c>
      <c r="D26" t="s">
        <v>60</v>
      </c>
      <c r="E26" t="s">
        <v>61</v>
      </c>
      <c r="F26" t="s">
        <v>55</v>
      </c>
      <c r="G26">
        <v>622</v>
      </c>
      <c r="H26">
        <v>19.46</v>
      </c>
      <c r="I26">
        <v>179</v>
      </c>
      <c r="J26">
        <v>560.4</v>
      </c>
      <c r="K26">
        <v>0</v>
      </c>
      <c r="L26" t="s">
        <v>62</v>
      </c>
      <c r="M26">
        <v>0</v>
      </c>
      <c r="N26">
        <v>2</v>
      </c>
      <c r="O26">
        <v>25.2</v>
      </c>
      <c r="P26">
        <v>1</v>
      </c>
      <c r="Q26">
        <v>0</v>
      </c>
      <c r="R26">
        <v>2</v>
      </c>
      <c r="S26" t="s">
        <v>66</v>
      </c>
      <c r="T26">
        <v>0</v>
      </c>
      <c r="U26">
        <v>0</v>
      </c>
      <c r="V26">
        <v>0</v>
      </c>
      <c r="W26">
        <v>1</v>
      </c>
      <c r="X26" t="s">
        <v>58</v>
      </c>
    </row>
    <row r="27" customHeight="1" spans="1:24">
      <c r="A27" t="s">
        <v>89</v>
      </c>
      <c r="B27">
        <v>26</v>
      </c>
      <c r="C27">
        <v>40</v>
      </c>
      <c r="D27" t="s">
        <v>72</v>
      </c>
      <c r="E27" t="s">
        <v>65</v>
      </c>
      <c r="F27" t="s">
        <v>55</v>
      </c>
      <c r="G27">
        <v>456</v>
      </c>
      <c r="H27">
        <v>43.94</v>
      </c>
      <c r="I27">
        <v>130</v>
      </c>
      <c r="J27">
        <v>1514</v>
      </c>
      <c r="K27">
        <v>1</v>
      </c>
      <c r="L27" t="s">
        <v>56</v>
      </c>
      <c r="M27">
        <v>1</v>
      </c>
      <c r="N27">
        <v>2</v>
      </c>
      <c r="O27">
        <v>10.9</v>
      </c>
      <c r="P27">
        <v>3</v>
      </c>
      <c r="Q27">
        <v>0</v>
      </c>
      <c r="R27">
        <v>2</v>
      </c>
      <c r="S27" t="s">
        <v>63</v>
      </c>
      <c r="T27">
        <v>1</v>
      </c>
      <c r="U27">
        <v>1</v>
      </c>
      <c r="V27">
        <v>0</v>
      </c>
      <c r="W27">
        <v>1</v>
      </c>
      <c r="X27" t="s">
        <v>55</v>
      </c>
    </row>
    <row r="28" customHeight="1" spans="1:24">
      <c r="A28" t="s">
        <v>90</v>
      </c>
      <c r="B28">
        <v>58</v>
      </c>
      <c r="C28">
        <v>21</v>
      </c>
      <c r="D28" t="s">
        <v>60</v>
      </c>
      <c r="E28" t="s">
        <v>65</v>
      </c>
      <c r="F28" t="s">
        <v>58</v>
      </c>
      <c r="G28">
        <v>539</v>
      </c>
      <c r="H28">
        <v>32.57</v>
      </c>
      <c r="I28">
        <v>175</v>
      </c>
      <c r="J28">
        <v>843.64</v>
      </c>
      <c r="K28">
        <v>0</v>
      </c>
      <c r="L28" t="s">
        <v>62</v>
      </c>
      <c r="M28">
        <v>0</v>
      </c>
      <c r="N28">
        <v>0</v>
      </c>
      <c r="O28">
        <v>14</v>
      </c>
      <c r="P28">
        <v>0</v>
      </c>
      <c r="Q28">
        <v>1</v>
      </c>
      <c r="R28">
        <v>0</v>
      </c>
      <c r="S28" t="s">
        <v>57</v>
      </c>
      <c r="T28">
        <v>0</v>
      </c>
      <c r="U28">
        <v>0</v>
      </c>
      <c r="V28">
        <v>0</v>
      </c>
      <c r="W28">
        <v>0</v>
      </c>
      <c r="X28" t="s">
        <v>58</v>
      </c>
    </row>
    <row r="29" customHeight="1" spans="1:24">
      <c r="A29" t="s">
        <v>91</v>
      </c>
      <c r="B29">
        <v>38</v>
      </c>
      <c r="C29">
        <v>33</v>
      </c>
      <c r="D29" t="s">
        <v>60</v>
      </c>
      <c r="E29" t="s">
        <v>54</v>
      </c>
      <c r="F29" t="s">
        <v>58</v>
      </c>
      <c r="G29">
        <v>355</v>
      </c>
      <c r="H29">
        <v>25.11</v>
      </c>
      <c r="I29">
        <v>134</v>
      </c>
      <c r="J29">
        <v>595.47</v>
      </c>
      <c r="K29">
        <v>1</v>
      </c>
      <c r="L29" t="s">
        <v>56</v>
      </c>
      <c r="M29">
        <v>2</v>
      </c>
      <c r="N29">
        <v>3</v>
      </c>
      <c r="O29">
        <v>41.9</v>
      </c>
      <c r="P29">
        <v>2</v>
      </c>
      <c r="Q29">
        <v>0</v>
      </c>
      <c r="R29">
        <v>1</v>
      </c>
      <c r="S29" t="s">
        <v>63</v>
      </c>
      <c r="T29">
        <v>1</v>
      </c>
      <c r="U29">
        <v>1</v>
      </c>
      <c r="V29">
        <v>0</v>
      </c>
      <c r="W29">
        <v>0</v>
      </c>
      <c r="X29" t="s">
        <v>58</v>
      </c>
    </row>
    <row r="30" customHeight="1" spans="1:24">
      <c r="A30" t="s">
        <v>92</v>
      </c>
      <c r="B30">
        <v>42</v>
      </c>
      <c r="C30">
        <v>11</v>
      </c>
      <c r="D30" t="s">
        <v>53</v>
      </c>
      <c r="E30" t="s">
        <v>69</v>
      </c>
      <c r="F30" t="s">
        <v>58</v>
      </c>
      <c r="G30">
        <v>328</v>
      </c>
      <c r="H30">
        <v>20.49</v>
      </c>
      <c r="I30">
        <v>146</v>
      </c>
      <c r="J30">
        <v>419.67</v>
      </c>
      <c r="K30">
        <v>0</v>
      </c>
      <c r="L30" t="s">
        <v>62</v>
      </c>
      <c r="M30">
        <v>0</v>
      </c>
      <c r="N30">
        <v>0</v>
      </c>
      <c r="O30">
        <v>45.9</v>
      </c>
      <c r="P30">
        <v>0</v>
      </c>
      <c r="Q30">
        <v>0</v>
      </c>
      <c r="R30">
        <v>0</v>
      </c>
      <c r="S30" t="s">
        <v>57</v>
      </c>
      <c r="T30">
        <v>0</v>
      </c>
      <c r="U30">
        <v>0</v>
      </c>
      <c r="V30">
        <v>0</v>
      </c>
      <c r="W30">
        <v>0</v>
      </c>
      <c r="X30" t="s">
        <v>58</v>
      </c>
    </row>
    <row r="31" customHeight="1" spans="1:24">
      <c r="A31" t="s">
        <v>93</v>
      </c>
      <c r="B31">
        <v>45</v>
      </c>
      <c r="C31">
        <v>16</v>
      </c>
      <c r="D31" t="s">
        <v>72</v>
      </c>
      <c r="E31" t="s">
        <v>76</v>
      </c>
      <c r="F31" t="s">
        <v>58</v>
      </c>
      <c r="G31">
        <v>471</v>
      </c>
      <c r="H31">
        <v>19.64</v>
      </c>
      <c r="I31">
        <v>76</v>
      </c>
      <c r="J31">
        <v>1417.84</v>
      </c>
      <c r="K31">
        <v>0</v>
      </c>
      <c r="L31" t="s">
        <v>62</v>
      </c>
      <c r="M31">
        <v>0</v>
      </c>
      <c r="N31">
        <v>0</v>
      </c>
      <c r="O31">
        <v>36.1</v>
      </c>
      <c r="P31">
        <v>2</v>
      </c>
      <c r="Q31">
        <v>0</v>
      </c>
      <c r="R31">
        <v>0</v>
      </c>
      <c r="S31" t="s">
        <v>57</v>
      </c>
      <c r="T31">
        <v>0</v>
      </c>
      <c r="U31">
        <v>0</v>
      </c>
      <c r="V31">
        <v>0</v>
      </c>
      <c r="W31">
        <v>0</v>
      </c>
      <c r="X31" t="s">
        <v>58</v>
      </c>
    </row>
    <row r="32" customHeight="1" spans="1:24">
      <c r="A32" t="s">
        <v>94</v>
      </c>
      <c r="B32">
        <v>51</v>
      </c>
      <c r="C32">
        <v>32</v>
      </c>
      <c r="D32" t="s">
        <v>60</v>
      </c>
      <c r="E32" t="s">
        <v>69</v>
      </c>
      <c r="F32" t="s">
        <v>58</v>
      </c>
      <c r="G32">
        <v>342</v>
      </c>
      <c r="H32">
        <v>7.96</v>
      </c>
      <c r="I32">
        <v>76</v>
      </c>
      <c r="J32">
        <v>805.04</v>
      </c>
      <c r="K32">
        <v>0</v>
      </c>
      <c r="L32" t="s">
        <v>62</v>
      </c>
      <c r="M32">
        <v>1</v>
      </c>
      <c r="N32">
        <v>2</v>
      </c>
      <c r="O32">
        <v>39.8</v>
      </c>
      <c r="P32">
        <v>1</v>
      </c>
      <c r="Q32">
        <v>1</v>
      </c>
      <c r="R32">
        <v>0</v>
      </c>
      <c r="S32" t="s">
        <v>63</v>
      </c>
      <c r="T32">
        <v>1</v>
      </c>
      <c r="U32">
        <v>0</v>
      </c>
      <c r="V32">
        <v>0</v>
      </c>
      <c r="W32">
        <v>0</v>
      </c>
      <c r="X32" t="s">
        <v>58</v>
      </c>
    </row>
    <row r="33" customHeight="1" spans="1:24">
      <c r="A33" t="s">
        <v>95</v>
      </c>
      <c r="B33">
        <v>44</v>
      </c>
      <c r="C33">
        <v>50</v>
      </c>
      <c r="D33" t="s">
        <v>60</v>
      </c>
      <c r="E33" t="s">
        <v>69</v>
      </c>
      <c r="F33" t="s">
        <v>58</v>
      </c>
      <c r="G33">
        <v>440</v>
      </c>
      <c r="H33">
        <v>0.61</v>
      </c>
      <c r="I33">
        <v>206</v>
      </c>
      <c r="J33">
        <v>619.09</v>
      </c>
      <c r="K33">
        <v>1</v>
      </c>
      <c r="L33" t="s">
        <v>56</v>
      </c>
      <c r="M33">
        <v>0</v>
      </c>
      <c r="N33">
        <v>0</v>
      </c>
      <c r="O33">
        <v>38.6</v>
      </c>
      <c r="P33">
        <v>0</v>
      </c>
      <c r="Q33">
        <v>2</v>
      </c>
      <c r="R33">
        <v>0</v>
      </c>
      <c r="S33" t="s">
        <v>63</v>
      </c>
      <c r="T33">
        <v>0</v>
      </c>
      <c r="U33">
        <v>1</v>
      </c>
      <c r="V33">
        <v>1</v>
      </c>
      <c r="W33">
        <v>0</v>
      </c>
      <c r="X33" t="s">
        <v>58</v>
      </c>
    </row>
    <row r="34" customHeight="1" spans="1:24">
      <c r="A34" t="s">
        <v>96</v>
      </c>
      <c r="B34">
        <v>19</v>
      </c>
      <c r="C34">
        <v>30</v>
      </c>
      <c r="D34" t="s">
        <v>60</v>
      </c>
      <c r="E34" t="s">
        <v>54</v>
      </c>
      <c r="F34" t="s">
        <v>58</v>
      </c>
      <c r="G34">
        <v>241</v>
      </c>
      <c r="H34">
        <v>9.27</v>
      </c>
      <c r="I34">
        <v>164</v>
      </c>
      <c r="J34">
        <v>811.07</v>
      </c>
      <c r="K34">
        <v>0</v>
      </c>
      <c r="L34" t="s">
        <v>62</v>
      </c>
      <c r="M34">
        <v>1</v>
      </c>
      <c r="N34">
        <v>1</v>
      </c>
      <c r="O34">
        <v>30.7</v>
      </c>
      <c r="P34">
        <v>2</v>
      </c>
      <c r="Q34">
        <v>3</v>
      </c>
      <c r="R34">
        <v>0</v>
      </c>
      <c r="S34" t="s">
        <v>63</v>
      </c>
      <c r="T34">
        <v>1</v>
      </c>
      <c r="U34">
        <v>0</v>
      </c>
      <c r="V34">
        <v>0</v>
      </c>
      <c r="W34">
        <v>0</v>
      </c>
      <c r="X34" t="s">
        <v>58</v>
      </c>
    </row>
    <row r="35" customHeight="1" spans="1:24">
      <c r="A35" t="s">
        <v>97</v>
      </c>
      <c r="B35">
        <v>23</v>
      </c>
      <c r="C35">
        <v>40</v>
      </c>
      <c r="D35" t="s">
        <v>60</v>
      </c>
      <c r="E35" t="s">
        <v>54</v>
      </c>
      <c r="F35" t="s">
        <v>55</v>
      </c>
      <c r="G35">
        <v>268</v>
      </c>
      <c r="H35">
        <v>17.52</v>
      </c>
      <c r="I35">
        <v>48</v>
      </c>
      <c r="J35">
        <v>536.25</v>
      </c>
      <c r="K35">
        <v>0</v>
      </c>
      <c r="L35" t="s">
        <v>62</v>
      </c>
      <c r="M35">
        <v>0</v>
      </c>
      <c r="N35">
        <v>0</v>
      </c>
      <c r="O35">
        <v>27.9</v>
      </c>
      <c r="P35">
        <v>1</v>
      </c>
      <c r="Q35">
        <v>0</v>
      </c>
      <c r="R35">
        <v>0</v>
      </c>
      <c r="S35" t="s">
        <v>63</v>
      </c>
      <c r="T35">
        <v>0</v>
      </c>
      <c r="U35">
        <v>0</v>
      </c>
      <c r="V35">
        <v>0</v>
      </c>
      <c r="W35">
        <v>1</v>
      </c>
      <c r="X35" t="s">
        <v>55</v>
      </c>
    </row>
    <row r="36" customHeight="1" spans="1:24">
      <c r="A36" t="s">
        <v>98</v>
      </c>
      <c r="B36">
        <v>18</v>
      </c>
      <c r="C36">
        <v>38</v>
      </c>
      <c r="D36" t="s">
        <v>60</v>
      </c>
      <c r="E36" t="s">
        <v>65</v>
      </c>
      <c r="F36" t="s">
        <v>58</v>
      </c>
      <c r="G36">
        <v>495</v>
      </c>
      <c r="H36">
        <v>0.5</v>
      </c>
      <c r="I36">
        <v>133</v>
      </c>
      <c r="J36">
        <v>727.72</v>
      </c>
      <c r="K36">
        <v>0</v>
      </c>
      <c r="L36" t="s">
        <v>62</v>
      </c>
      <c r="M36">
        <v>0</v>
      </c>
      <c r="N36">
        <v>1</v>
      </c>
      <c r="O36">
        <v>30.5</v>
      </c>
      <c r="P36">
        <v>0</v>
      </c>
      <c r="Q36">
        <v>1</v>
      </c>
      <c r="R36">
        <v>1</v>
      </c>
      <c r="S36" t="s">
        <v>63</v>
      </c>
      <c r="T36">
        <v>0</v>
      </c>
      <c r="U36">
        <v>0</v>
      </c>
      <c r="V36">
        <v>1</v>
      </c>
      <c r="W36">
        <v>0</v>
      </c>
      <c r="X36" t="s">
        <v>58</v>
      </c>
    </row>
    <row r="37" customHeight="1" spans="1:24">
      <c r="A37" t="s">
        <v>99</v>
      </c>
      <c r="B37">
        <v>33</v>
      </c>
      <c r="C37">
        <v>20</v>
      </c>
      <c r="D37" t="s">
        <v>60</v>
      </c>
      <c r="E37" t="s">
        <v>61</v>
      </c>
      <c r="F37" t="s">
        <v>58</v>
      </c>
      <c r="G37">
        <v>533</v>
      </c>
      <c r="H37">
        <v>12.56</v>
      </c>
      <c r="I37">
        <v>0</v>
      </c>
      <c r="J37">
        <v>863.8</v>
      </c>
      <c r="K37">
        <v>0</v>
      </c>
      <c r="L37" t="s">
        <v>62</v>
      </c>
      <c r="M37">
        <v>0</v>
      </c>
      <c r="N37">
        <v>0</v>
      </c>
      <c r="O37">
        <v>32.8</v>
      </c>
      <c r="P37">
        <v>1</v>
      </c>
      <c r="Q37">
        <v>1</v>
      </c>
      <c r="R37">
        <v>0</v>
      </c>
      <c r="S37" t="s">
        <v>57</v>
      </c>
      <c r="T37">
        <v>0</v>
      </c>
      <c r="U37">
        <v>0</v>
      </c>
      <c r="V37">
        <v>0</v>
      </c>
      <c r="W37">
        <v>0</v>
      </c>
      <c r="X37" t="s">
        <v>58</v>
      </c>
    </row>
    <row r="38" customHeight="1" spans="1:24">
      <c r="A38" t="s">
        <v>100</v>
      </c>
      <c r="B38">
        <v>65</v>
      </c>
      <c r="C38">
        <v>21</v>
      </c>
      <c r="D38" t="s">
        <v>72</v>
      </c>
      <c r="E38" t="s">
        <v>61</v>
      </c>
      <c r="F38" t="s">
        <v>55</v>
      </c>
      <c r="G38">
        <v>252</v>
      </c>
      <c r="H38">
        <v>15.52</v>
      </c>
      <c r="I38">
        <v>80</v>
      </c>
      <c r="J38">
        <v>1208.4</v>
      </c>
      <c r="K38">
        <v>0</v>
      </c>
      <c r="L38" t="s">
        <v>62</v>
      </c>
      <c r="M38">
        <v>1</v>
      </c>
      <c r="N38">
        <v>2</v>
      </c>
      <c r="O38">
        <v>15.1</v>
      </c>
      <c r="P38">
        <v>0</v>
      </c>
      <c r="Q38">
        <v>1</v>
      </c>
      <c r="R38">
        <v>0</v>
      </c>
      <c r="S38" t="s">
        <v>57</v>
      </c>
      <c r="T38">
        <v>1</v>
      </c>
      <c r="U38">
        <v>0</v>
      </c>
      <c r="V38">
        <v>0</v>
      </c>
      <c r="W38">
        <v>1</v>
      </c>
      <c r="X38" t="s">
        <v>55</v>
      </c>
    </row>
    <row r="39" customHeight="1" spans="1:24">
      <c r="A39" t="s">
        <v>101</v>
      </c>
      <c r="B39">
        <v>74</v>
      </c>
      <c r="C39">
        <v>31</v>
      </c>
      <c r="D39" t="s">
        <v>60</v>
      </c>
      <c r="E39" t="s">
        <v>76</v>
      </c>
      <c r="F39" t="s">
        <v>55</v>
      </c>
      <c r="G39">
        <v>501</v>
      </c>
      <c r="H39">
        <v>15.85</v>
      </c>
      <c r="I39">
        <v>187</v>
      </c>
      <c r="J39">
        <v>700.11</v>
      </c>
      <c r="K39">
        <v>0</v>
      </c>
      <c r="L39" t="s">
        <v>62</v>
      </c>
      <c r="M39">
        <v>1</v>
      </c>
      <c r="N39">
        <v>1</v>
      </c>
      <c r="O39">
        <v>32.8</v>
      </c>
      <c r="P39">
        <v>1</v>
      </c>
      <c r="Q39">
        <v>1</v>
      </c>
      <c r="R39">
        <v>0</v>
      </c>
      <c r="S39" t="s">
        <v>63</v>
      </c>
      <c r="T39">
        <v>1</v>
      </c>
      <c r="U39">
        <v>0</v>
      </c>
      <c r="V39">
        <v>0</v>
      </c>
      <c r="W39">
        <v>1</v>
      </c>
      <c r="X39" t="s">
        <v>55</v>
      </c>
    </row>
    <row r="40" customHeight="1" spans="1:24">
      <c r="A40" t="s">
        <v>102</v>
      </c>
      <c r="B40">
        <v>45</v>
      </c>
      <c r="C40">
        <v>3</v>
      </c>
      <c r="D40" t="s">
        <v>60</v>
      </c>
      <c r="E40" t="s">
        <v>69</v>
      </c>
      <c r="F40" t="s">
        <v>58</v>
      </c>
      <c r="G40">
        <v>320</v>
      </c>
      <c r="H40">
        <v>11.38</v>
      </c>
      <c r="I40">
        <v>111</v>
      </c>
      <c r="J40">
        <v>838.93</v>
      </c>
      <c r="K40">
        <v>0</v>
      </c>
      <c r="L40" t="s">
        <v>62</v>
      </c>
      <c r="M40">
        <v>0</v>
      </c>
      <c r="N40">
        <v>2</v>
      </c>
      <c r="O40">
        <v>41.5</v>
      </c>
      <c r="P40">
        <v>1</v>
      </c>
      <c r="Q40">
        <v>2</v>
      </c>
      <c r="R40">
        <v>0</v>
      </c>
      <c r="S40" t="s">
        <v>66</v>
      </c>
      <c r="T40">
        <v>0</v>
      </c>
      <c r="U40">
        <v>0</v>
      </c>
      <c r="V40">
        <v>0</v>
      </c>
      <c r="W40">
        <v>0</v>
      </c>
      <c r="X40" t="s">
        <v>58</v>
      </c>
    </row>
    <row r="41" customHeight="1" spans="1:24">
      <c r="A41" t="s">
        <v>103</v>
      </c>
      <c r="B41">
        <v>19</v>
      </c>
      <c r="C41">
        <v>50</v>
      </c>
      <c r="D41" t="s">
        <v>53</v>
      </c>
      <c r="E41" t="s">
        <v>69</v>
      </c>
      <c r="F41" t="s">
        <v>55</v>
      </c>
      <c r="G41">
        <v>402</v>
      </c>
      <c r="H41">
        <v>14.58</v>
      </c>
      <c r="I41">
        <v>128</v>
      </c>
      <c r="J41">
        <v>465.22</v>
      </c>
      <c r="K41">
        <v>0</v>
      </c>
      <c r="L41" t="s">
        <v>62</v>
      </c>
      <c r="M41">
        <v>0</v>
      </c>
      <c r="N41">
        <v>1</v>
      </c>
      <c r="O41">
        <v>21.5</v>
      </c>
      <c r="P41">
        <v>0</v>
      </c>
      <c r="Q41">
        <v>3</v>
      </c>
      <c r="R41">
        <v>0</v>
      </c>
      <c r="S41" t="s">
        <v>63</v>
      </c>
      <c r="T41">
        <v>0</v>
      </c>
      <c r="U41">
        <v>0</v>
      </c>
      <c r="V41">
        <v>0</v>
      </c>
      <c r="W41">
        <v>1</v>
      </c>
      <c r="X41" t="s">
        <v>55</v>
      </c>
    </row>
    <row r="42" customHeight="1" spans="1:24">
      <c r="A42" t="s">
        <v>104</v>
      </c>
      <c r="B42">
        <v>22</v>
      </c>
      <c r="C42">
        <v>45</v>
      </c>
      <c r="D42" t="s">
        <v>60</v>
      </c>
      <c r="E42" t="s">
        <v>76</v>
      </c>
      <c r="F42" t="s">
        <v>58</v>
      </c>
      <c r="G42">
        <v>613</v>
      </c>
      <c r="H42">
        <v>17.41</v>
      </c>
      <c r="I42">
        <v>0</v>
      </c>
      <c r="J42">
        <v>881</v>
      </c>
      <c r="K42">
        <v>0</v>
      </c>
      <c r="L42" t="s">
        <v>62</v>
      </c>
      <c r="M42">
        <v>0</v>
      </c>
      <c r="N42">
        <v>1</v>
      </c>
      <c r="O42">
        <v>20.2</v>
      </c>
      <c r="P42">
        <v>1</v>
      </c>
      <c r="Q42">
        <v>0</v>
      </c>
      <c r="R42">
        <v>0</v>
      </c>
      <c r="S42" t="s">
        <v>63</v>
      </c>
      <c r="T42">
        <v>0</v>
      </c>
      <c r="U42">
        <v>0</v>
      </c>
      <c r="V42">
        <v>1</v>
      </c>
      <c r="W42">
        <v>0</v>
      </c>
      <c r="X42" t="s">
        <v>58</v>
      </c>
    </row>
    <row r="43" customHeight="1" spans="1:24">
      <c r="A43" t="s">
        <v>105</v>
      </c>
      <c r="B43">
        <v>65</v>
      </c>
      <c r="C43">
        <v>23</v>
      </c>
      <c r="D43" t="s">
        <v>60</v>
      </c>
      <c r="E43" t="s">
        <v>61</v>
      </c>
      <c r="F43" t="s">
        <v>55</v>
      </c>
      <c r="G43">
        <v>521</v>
      </c>
      <c r="H43">
        <v>24.62</v>
      </c>
      <c r="I43">
        <v>93</v>
      </c>
      <c r="J43">
        <v>837.43</v>
      </c>
      <c r="K43">
        <v>0</v>
      </c>
      <c r="L43" t="s">
        <v>62</v>
      </c>
      <c r="M43">
        <v>0</v>
      </c>
      <c r="N43">
        <v>1</v>
      </c>
      <c r="O43">
        <v>29.7</v>
      </c>
      <c r="P43">
        <v>0</v>
      </c>
      <c r="Q43">
        <v>2</v>
      </c>
      <c r="R43">
        <v>1</v>
      </c>
      <c r="S43" t="s">
        <v>57</v>
      </c>
      <c r="T43">
        <v>0</v>
      </c>
      <c r="U43">
        <v>0</v>
      </c>
      <c r="V43">
        <v>0</v>
      </c>
      <c r="W43">
        <v>1</v>
      </c>
      <c r="X43" t="s">
        <v>55</v>
      </c>
    </row>
    <row r="44" customHeight="1" spans="1:24">
      <c r="A44" t="s">
        <v>106</v>
      </c>
      <c r="B44">
        <v>37</v>
      </c>
      <c r="C44">
        <v>27</v>
      </c>
      <c r="D44" t="s">
        <v>53</v>
      </c>
      <c r="E44" t="s">
        <v>54</v>
      </c>
      <c r="F44" t="s">
        <v>58</v>
      </c>
      <c r="G44">
        <v>519</v>
      </c>
      <c r="H44">
        <v>12.4</v>
      </c>
      <c r="I44">
        <v>144</v>
      </c>
      <c r="J44">
        <v>442</v>
      </c>
      <c r="K44">
        <v>0</v>
      </c>
      <c r="L44" t="s">
        <v>62</v>
      </c>
      <c r="M44">
        <v>1</v>
      </c>
      <c r="N44">
        <v>3</v>
      </c>
      <c r="O44">
        <v>16.2</v>
      </c>
      <c r="P44">
        <v>1</v>
      </c>
      <c r="Q44">
        <v>0</v>
      </c>
      <c r="R44">
        <v>0</v>
      </c>
      <c r="S44" t="s">
        <v>63</v>
      </c>
      <c r="T44">
        <v>1</v>
      </c>
      <c r="U44">
        <v>0</v>
      </c>
      <c r="V44">
        <v>0</v>
      </c>
      <c r="W44">
        <v>0</v>
      </c>
      <c r="X44" t="s">
        <v>58</v>
      </c>
    </row>
    <row r="45" customHeight="1" spans="1:24">
      <c r="A45" t="s">
        <v>107</v>
      </c>
      <c r="B45">
        <v>69</v>
      </c>
      <c r="C45">
        <v>24</v>
      </c>
      <c r="D45" t="s">
        <v>53</v>
      </c>
      <c r="E45" t="s">
        <v>61</v>
      </c>
      <c r="F45" t="s">
        <v>58</v>
      </c>
      <c r="G45">
        <v>686</v>
      </c>
      <c r="H45">
        <v>17.32</v>
      </c>
      <c r="I45">
        <v>153</v>
      </c>
      <c r="J45">
        <v>457.5</v>
      </c>
      <c r="K45">
        <v>0</v>
      </c>
      <c r="L45" t="s">
        <v>62</v>
      </c>
      <c r="M45">
        <v>0</v>
      </c>
      <c r="N45">
        <v>0</v>
      </c>
      <c r="O45">
        <v>23.7</v>
      </c>
      <c r="P45">
        <v>3</v>
      </c>
      <c r="Q45">
        <v>0</v>
      </c>
      <c r="R45">
        <v>1</v>
      </c>
      <c r="S45" t="s">
        <v>57</v>
      </c>
      <c r="T45">
        <v>0</v>
      </c>
      <c r="U45">
        <v>0</v>
      </c>
      <c r="V45">
        <v>0</v>
      </c>
      <c r="W45">
        <v>0</v>
      </c>
      <c r="X45" t="s">
        <v>58</v>
      </c>
    </row>
    <row r="46" customHeight="1" spans="1:24">
      <c r="A46" t="s">
        <v>108</v>
      </c>
      <c r="B46">
        <v>47</v>
      </c>
      <c r="C46">
        <v>47</v>
      </c>
      <c r="D46" t="s">
        <v>60</v>
      </c>
      <c r="E46" t="s">
        <v>54</v>
      </c>
      <c r="F46" t="s">
        <v>58</v>
      </c>
      <c r="G46">
        <v>294</v>
      </c>
      <c r="H46">
        <v>17.72</v>
      </c>
      <c r="I46">
        <v>187</v>
      </c>
      <c r="J46">
        <v>776.55</v>
      </c>
      <c r="K46">
        <v>0</v>
      </c>
      <c r="L46" t="s">
        <v>62</v>
      </c>
      <c r="M46">
        <v>1</v>
      </c>
      <c r="N46">
        <v>1</v>
      </c>
      <c r="O46">
        <v>37.8</v>
      </c>
      <c r="P46">
        <v>0</v>
      </c>
      <c r="Q46">
        <v>2</v>
      </c>
      <c r="R46">
        <v>0</v>
      </c>
      <c r="S46" t="s">
        <v>63</v>
      </c>
      <c r="T46">
        <v>1</v>
      </c>
      <c r="U46">
        <v>0</v>
      </c>
      <c r="V46">
        <v>0</v>
      </c>
      <c r="W46">
        <v>0</v>
      </c>
      <c r="X46" t="s">
        <v>58</v>
      </c>
    </row>
    <row r="47" customHeight="1" spans="1:24">
      <c r="A47" t="s">
        <v>109</v>
      </c>
      <c r="B47">
        <v>68</v>
      </c>
      <c r="C47">
        <v>55</v>
      </c>
      <c r="D47" t="s">
        <v>60</v>
      </c>
      <c r="E47" t="s">
        <v>54</v>
      </c>
      <c r="F47" t="s">
        <v>55</v>
      </c>
      <c r="G47">
        <v>252</v>
      </c>
      <c r="H47">
        <v>10.32</v>
      </c>
      <c r="I47">
        <v>105</v>
      </c>
      <c r="J47">
        <v>758.95</v>
      </c>
      <c r="K47">
        <v>0</v>
      </c>
      <c r="L47" t="s">
        <v>62</v>
      </c>
      <c r="M47">
        <v>1</v>
      </c>
      <c r="N47">
        <v>1</v>
      </c>
      <c r="O47">
        <v>18.6</v>
      </c>
      <c r="P47">
        <v>2</v>
      </c>
      <c r="Q47">
        <v>0</v>
      </c>
      <c r="R47">
        <v>0</v>
      </c>
      <c r="S47" t="s">
        <v>63</v>
      </c>
      <c r="T47">
        <v>1</v>
      </c>
      <c r="U47">
        <v>0</v>
      </c>
      <c r="V47">
        <v>0</v>
      </c>
      <c r="W47">
        <v>1</v>
      </c>
      <c r="X47" t="s">
        <v>55</v>
      </c>
    </row>
    <row r="48" customHeight="1" spans="1:24">
      <c r="A48" t="s">
        <v>110</v>
      </c>
      <c r="B48">
        <v>25</v>
      </c>
      <c r="C48">
        <v>8</v>
      </c>
      <c r="D48" t="s">
        <v>60</v>
      </c>
      <c r="E48" t="s">
        <v>61</v>
      </c>
      <c r="F48" t="s">
        <v>58</v>
      </c>
      <c r="G48">
        <v>292</v>
      </c>
      <c r="H48">
        <v>10.31</v>
      </c>
      <c r="I48">
        <v>108</v>
      </c>
      <c r="J48">
        <v>726.27</v>
      </c>
      <c r="K48">
        <v>1</v>
      </c>
      <c r="L48" t="s">
        <v>56</v>
      </c>
      <c r="M48">
        <v>4</v>
      </c>
      <c r="N48">
        <v>4</v>
      </c>
      <c r="O48">
        <v>24.2</v>
      </c>
      <c r="P48">
        <v>1</v>
      </c>
      <c r="Q48">
        <v>0</v>
      </c>
      <c r="R48">
        <v>0</v>
      </c>
      <c r="S48" t="s">
        <v>57</v>
      </c>
      <c r="T48">
        <v>1</v>
      </c>
      <c r="U48">
        <v>1</v>
      </c>
      <c r="V48">
        <v>0</v>
      </c>
      <c r="W48">
        <v>0</v>
      </c>
      <c r="X48" t="s">
        <v>58</v>
      </c>
    </row>
    <row r="49" customHeight="1" spans="1:24">
      <c r="A49" t="s">
        <v>111</v>
      </c>
      <c r="B49">
        <v>67</v>
      </c>
      <c r="C49">
        <v>30</v>
      </c>
      <c r="D49" t="s">
        <v>53</v>
      </c>
      <c r="E49" t="s">
        <v>54</v>
      </c>
      <c r="F49" t="s">
        <v>58</v>
      </c>
      <c r="G49">
        <v>362</v>
      </c>
      <c r="H49">
        <v>28.11</v>
      </c>
      <c r="I49">
        <v>27</v>
      </c>
      <c r="J49">
        <v>507.07</v>
      </c>
      <c r="K49">
        <v>1</v>
      </c>
      <c r="L49" t="s">
        <v>56</v>
      </c>
      <c r="M49">
        <v>1</v>
      </c>
      <c r="N49">
        <v>2</v>
      </c>
      <c r="O49">
        <v>16.7</v>
      </c>
      <c r="P49">
        <v>0</v>
      </c>
      <c r="Q49">
        <v>1</v>
      </c>
      <c r="R49">
        <v>0</v>
      </c>
      <c r="S49" t="s">
        <v>63</v>
      </c>
      <c r="T49">
        <v>1</v>
      </c>
      <c r="U49">
        <v>1</v>
      </c>
      <c r="V49">
        <v>0</v>
      </c>
      <c r="W49">
        <v>0</v>
      </c>
      <c r="X49" t="s">
        <v>58</v>
      </c>
    </row>
    <row r="50" customHeight="1" spans="1:24">
      <c r="A50" t="s">
        <v>112</v>
      </c>
      <c r="B50">
        <v>49</v>
      </c>
      <c r="C50">
        <v>1</v>
      </c>
      <c r="D50" t="s">
        <v>53</v>
      </c>
      <c r="E50" t="s">
        <v>54</v>
      </c>
      <c r="F50" t="s">
        <v>55</v>
      </c>
      <c r="G50">
        <v>47</v>
      </c>
      <c r="H50">
        <v>13.8</v>
      </c>
      <c r="I50">
        <v>106</v>
      </c>
      <c r="J50">
        <v>400.88</v>
      </c>
      <c r="K50">
        <v>0</v>
      </c>
      <c r="L50" t="s">
        <v>62</v>
      </c>
      <c r="M50">
        <v>1</v>
      </c>
      <c r="N50">
        <v>1</v>
      </c>
      <c r="O50">
        <v>39.3</v>
      </c>
      <c r="P50">
        <v>2</v>
      </c>
      <c r="Q50">
        <v>0</v>
      </c>
      <c r="R50">
        <v>1</v>
      </c>
      <c r="S50" t="s">
        <v>66</v>
      </c>
      <c r="T50">
        <v>1</v>
      </c>
      <c r="U50">
        <v>0</v>
      </c>
      <c r="V50">
        <v>0</v>
      </c>
      <c r="W50">
        <v>1</v>
      </c>
      <c r="X50" t="s">
        <v>55</v>
      </c>
    </row>
    <row r="51" customHeight="1" spans="1:24">
      <c r="A51" t="s">
        <v>113</v>
      </c>
      <c r="B51">
        <v>43</v>
      </c>
      <c r="C51">
        <v>33</v>
      </c>
      <c r="D51" t="s">
        <v>53</v>
      </c>
      <c r="E51" t="s">
        <v>61</v>
      </c>
      <c r="F51" t="s">
        <v>58</v>
      </c>
      <c r="G51">
        <v>369</v>
      </c>
      <c r="H51">
        <v>7.05</v>
      </c>
      <c r="I51">
        <v>32</v>
      </c>
      <c r="J51">
        <v>503.62</v>
      </c>
      <c r="K51">
        <v>0</v>
      </c>
      <c r="L51" t="s">
        <v>62</v>
      </c>
      <c r="M51">
        <v>0</v>
      </c>
      <c r="N51">
        <v>0</v>
      </c>
      <c r="O51">
        <v>34.2</v>
      </c>
      <c r="P51">
        <v>2</v>
      </c>
      <c r="Q51">
        <v>0</v>
      </c>
      <c r="R51">
        <v>1</v>
      </c>
      <c r="S51" t="s">
        <v>63</v>
      </c>
      <c r="T51">
        <v>0</v>
      </c>
      <c r="U51">
        <v>0</v>
      </c>
      <c r="V51">
        <v>0</v>
      </c>
      <c r="W51">
        <v>0</v>
      </c>
      <c r="X51" t="s">
        <v>58</v>
      </c>
    </row>
    <row r="52" customHeight="1" spans="1:24">
      <c r="A52" t="s">
        <v>114</v>
      </c>
      <c r="B52">
        <v>48</v>
      </c>
      <c r="C52">
        <v>18</v>
      </c>
      <c r="D52" t="s">
        <v>72</v>
      </c>
      <c r="E52" t="s">
        <v>61</v>
      </c>
      <c r="F52" t="s">
        <v>58</v>
      </c>
      <c r="G52">
        <v>318</v>
      </c>
      <c r="H52">
        <v>17.57</v>
      </c>
      <c r="I52">
        <v>0</v>
      </c>
      <c r="J52">
        <v>1004.53</v>
      </c>
      <c r="K52">
        <v>0</v>
      </c>
      <c r="L52" t="s">
        <v>62</v>
      </c>
      <c r="M52">
        <v>0</v>
      </c>
      <c r="N52">
        <v>0</v>
      </c>
      <c r="O52">
        <v>23.7</v>
      </c>
      <c r="P52">
        <v>0</v>
      </c>
      <c r="Q52">
        <v>1</v>
      </c>
      <c r="R52">
        <v>1</v>
      </c>
      <c r="S52" t="s">
        <v>57</v>
      </c>
      <c r="T52">
        <v>0</v>
      </c>
      <c r="U52">
        <v>0</v>
      </c>
      <c r="V52">
        <v>0</v>
      </c>
      <c r="W52">
        <v>0</v>
      </c>
      <c r="X52" t="s">
        <v>58</v>
      </c>
    </row>
    <row r="53" customHeight="1" spans="1:24">
      <c r="A53" t="s">
        <v>115</v>
      </c>
      <c r="B53">
        <v>36</v>
      </c>
      <c r="C53">
        <v>25</v>
      </c>
      <c r="D53" t="s">
        <v>72</v>
      </c>
      <c r="E53" t="s">
        <v>54</v>
      </c>
      <c r="F53" t="s">
        <v>55</v>
      </c>
      <c r="G53">
        <v>518</v>
      </c>
      <c r="H53">
        <v>19.18</v>
      </c>
      <c r="I53">
        <v>44</v>
      </c>
      <c r="J53">
        <v>1198.52</v>
      </c>
      <c r="K53">
        <v>0</v>
      </c>
      <c r="L53" t="s">
        <v>62</v>
      </c>
      <c r="M53">
        <v>1</v>
      </c>
      <c r="N53">
        <v>1</v>
      </c>
      <c r="O53">
        <v>9.8</v>
      </c>
      <c r="P53">
        <v>3</v>
      </c>
      <c r="Q53">
        <v>0</v>
      </c>
      <c r="R53">
        <v>0</v>
      </c>
      <c r="S53" t="s">
        <v>63</v>
      </c>
      <c r="T53">
        <v>1</v>
      </c>
      <c r="U53">
        <v>0</v>
      </c>
      <c r="V53">
        <v>0</v>
      </c>
      <c r="W53">
        <v>1</v>
      </c>
      <c r="X53" t="s">
        <v>55</v>
      </c>
    </row>
    <row r="54" customHeight="1" spans="1:24">
      <c r="A54" t="s">
        <v>116</v>
      </c>
      <c r="B54">
        <v>52</v>
      </c>
      <c r="C54">
        <v>33</v>
      </c>
      <c r="D54" t="s">
        <v>53</v>
      </c>
      <c r="E54" t="s">
        <v>117</v>
      </c>
      <c r="F54" t="s">
        <v>55</v>
      </c>
      <c r="G54">
        <v>453</v>
      </c>
      <c r="H54">
        <v>0.5</v>
      </c>
      <c r="I54">
        <v>226</v>
      </c>
      <c r="J54">
        <v>604.74</v>
      </c>
      <c r="K54">
        <v>0</v>
      </c>
      <c r="L54" t="s">
        <v>62</v>
      </c>
      <c r="M54">
        <v>2</v>
      </c>
      <c r="N54">
        <v>2</v>
      </c>
      <c r="O54">
        <v>19.8</v>
      </c>
      <c r="P54">
        <v>3</v>
      </c>
      <c r="Q54">
        <v>0</v>
      </c>
      <c r="R54">
        <v>1</v>
      </c>
      <c r="S54" t="s">
        <v>63</v>
      </c>
      <c r="T54">
        <v>1</v>
      </c>
      <c r="U54">
        <v>0</v>
      </c>
      <c r="V54">
        <v>1</v>
      </c>
      <c r="W54">
        <v>1</v>
      </c>
      <c r="X54" t="s">
        <v>55</v>
      </c>
    </row>
    <row r="55" customHeight="1" spans="1:24">
      <c r="A55" t="s">
        <v>118</v>
      </c>
      <c r="B55">
        <v>62</v>
      </c>
      <c r="C55">
        <v>24</v>
      </c>
      <c r="D55" t="s">
        <v>60</v>
      </c>
      <c r="E55" t="s">
        <v>69</v>
      </c>
      <c r="F55" t="s">
        <v>58</v>
      </c>
      <c r="G55">
        <v>310</v>
      </c>
      <c r="H55">
        <v>17.59</v>
      </c>
      <c r="I55">
        <v>101</v>
      </c>
      <c r="J55">
        <v>850.35</v>
      </c>
      <c r="K55">
        <v>0</v>
      </c>
      <c r="L55" t="s">
        <v>62</v>
      </c>
      <c r="M55">
        <v>0</v>
      </c>
      <c r="N55">
        <v>0</v>
      </c>
      <c r="O55">
        <v>30.8</v>
      </c>
      <c r="P55">
        <v>0</v>
      </c>
      <c r="Q55">
        <v>1</v>
      </c>
      <c r="R55">
        <v>0</v>
      </c>
      <c r="S55" t="s">
        <v>57</v>
      </c>
      <c r="T55">
        <v>0</v>
      </c>
      <c r="U55">
        <v>0</v>
      </c>
      <c r="V55">
        <v>0</v>
      </c>
      <c r="W55">
        <v>0</v>
      </c>
      <c r="X55" t="s">
        <v>58</v>
      </c>
    </row>
    <row r="56" customHeight="1" spans="1:24">
      <c r="A56" t="s">
        <v>119</v>
      </c>
      <c r="B56">
        <v>64</v>
      </c>
      <c r="C56">
        <v>29</v>
      </c>
      <c r="D56" t="s">
        <v>53</v>
      </c>
      <c r="E56" t="s">
        <v>69</v>
      </c>
      <c r="F56" t="s">
        <v>58</v>
      </c>
      <c r="G56">
        <v>488</v>
      </c>
      <c r="H56">
        <v>26.68</v>
      </c>
      <c r="I56">
        <v>135</v>
      </c>
      <c r="J56">
        <v>296.52</v>
      </c>
      <c r="K56">
        <v>1</v>
      </c>
      <c r="L56" t="s">
        <v>56</v>
      </c>
      <c r="M56">
        <v>0</v>
      </c>
      <c r="N56">
        <v>1</v>
      </c>
      <c r="O56">
        <v>26.3</v>
      </c>
      <c r="P56">
        <v>1</v>
      </c>
      <c r="Q56">
        <v>0</v>
      </c>
      <c r="R56">
        <v>1</v>
      </c>
      <c r="S56" t="s">
        <v>63</v>
      </c>
      <c r="T56">
        <v>0</v>
      </c>
      <c r="U56">
        <v>1</v>
      </c>
      <c r="V56">
        <v>0</v>
      </c>
      <c r="W56">
        <v>0</v>
      </c>
      <c r="X56" t="s">
        <v>58</v>
      </c>
    </row>
    <row r="57" customHeight="1" spans="1:24">
      <c r="A57" t="s">
        <v>120</v>
      </c>
      <c r="B57">
        <v>74</v>
      </c>
      <c r="C57">
        <v>56</v>
      </c>
      <c r="D57" t="s">
        <v>53</v>
      </c>
      <c r="E57" t="s">
        <v>54</v>
      </c>
      <c r="F57" t="s">
        <v>55</v>
      </c>
      <c r="G57">
        <v>508</v>
      </c>
      <c r="H57">
        <v>22.51</v>
      </c>
      <c r="I57">
        <v>84</v>
      </c>
      <c r="J57">
        <v>411.63</v>
      </c>
      <c r="K57">
        <v>1</v>
      </c>
      <c r="L57" t="s">
        <v>56</v>
      </c>
      <c r="M57">
        <v>0</v>
      </c>
      <c r="N57">
        <v>0</v>
      </c>
      <c r="O57">
        <v>25.3</v>
      </c>
      <c r="P57">
        <v>0</v>
      </c>
      <c r="Q57">
        <v>0</v>
      </c>
      <c r="R57">
        <v>0</v>
      </c>
      <c r="S57" t="s">
        <v>63</v>
      </c>
      <c r="T57">
        <v>0</v>
      </c>
      <c r="U57">
        <v>1</v>
      </c>
      <c r="V57">
        <v>0</v>
      </c>
      <c r="W57">
        <v>1</v>
      </c>
      <c r="X57" t="s">
        <v>55</v>
      </c>
    </row>
    <row r="58" customHeight="1" spans="1:24">
      <c r="A58" t="s">
        <v>121</v>
      </c>
      <c r="B58">
        <v>41</v>
      </c>
      <c r="C58">
        <v>59</v>
      </c>
      <c r="D58" t="s">
        <v>53</v>
      </c>
      <c r="E58" t="s">
        <v>54</v>
      </c>
      <c r="F58" t="s">
        <v>55</v>
      </c>
      <c r="G58">
        <v>285</v>
      </c>
      <c r="H58">
        <v>40.3</v>
      </c>
      <c r="I58">
        <v>0</v>
      </c>
      <c r="J58">
        <v>536.23</v>
      </c>
      <c r="K58">
        <v>0</v>
      </c>
      <c r="L58" t="s">
        <v>62</v>
      </c>
      <c r="M58">
        <v>0</v>
      </c>
      <c r="N58">
        <v>0</v>
      </c>
      <c r="O58">
        <v>26.5</v>
      </c>
      <c r="P58">
        <v>1</v>
      </c>
      <c r="Q58">
        <v>0</v>
      </c>
      <c r="R58">
        <v>0</v>
      </c>
      <c r="S58" t="s">
        <v>63</v>
      </c>
      <c r="T58">
        <v>0</v>
      </c>
      <c r="U58">
        <v>0</v>
      </c>
      <c r="V58">
        <v>0</v>
      </c>
      <c r="W58">
        <v>1</v>
      </c>
      <c r="X58" t="s">
        <v>55</v>
      </c>
    </row>
    <row r="59" customHeight="1" spans="1:24">
      <c r="A59" t="s">
        <v>122</v>
      </c>
      <c r="B59">
        <v>62</v>
      </c>
      <c r="C59">
        <v>1</v>
      </c>
      <c r="D59" t="s">
        <v>53</v>
      </c>
      <c r="E59" t="s">
        <v>54</v>
      </c>
      <c r="F59" t="s">
        <v>55</v>
      </c>
      <c r="G59">
        <v>326</v>
      </c>
      <c r="H59">
        <v>30.51</v>
      </c>
      <c r="I59">
        <v>186</v>
      </c>
      <c r="J59">
        <v>488.72</v>
      </c>
      <c r="K59">
        <v>2</v>
      </c>
      <c r="L59" t="s">
        <v>56</v>
      </c>
      <c r="M59">
        <v>1</v>
      </c>
      <c r="N59">
        <v>1</v>
      </c>
      <c r="O59">
        <v>33.1</v>
      </c>
      <c r="P59">
        <v>3</v>
      </c>
      <c r="Q59">
        <v>2</v>
      </c>
      <c r="R59">
        <v>0</v>
      </c>
      <c r="S59" t="s">
        <v>66</v>
      </c>
      <c r="T59">
        <v>1</v>
      </c>
      <c r="U59">
        <v>1</v>
      </c>
      <c r="V59">
        <v>0</v>
      </c>
      <c r="W59">
        <v>1</v>
      </c>
      <c r="X59" t="s">
        <v>55</v>
      </c>
    </row>
    <row r="60" customHeight="1" spans="1:24">
      <c r="A60" t="s">
        <v>123</v>
      </c>
      <c r="B60">
        <v>69</v>
      </c>
      <c r="C60">
        <v>28</v>
      </c>
      <c r="D60" t="s">
        <v>60</v>
      </c>
      <c r="E60" t="s">
        <v>54</v>
      </c>
      <c r="F60" t="s">
        <v>58</v>
      </c>
      <c r="G60">
        <v>66</v>
      </c>
      <c r="H60">
        <v>32.49</v>
      </c>
      <c r="I60">
        <v>0</v>
      </c>
      <c r="J60">
        <v>882.21</v>
      </c>
      <c r="K60">
        <v>0</v>
      </c>
      <c r="L60" t="s">
        <v>62</v>
      </c>
      <c r="M60">
        <v>0</v>
      </c>
      <c r="N60">
        <v>0</v>
      </c>
      <c r="O60">
        <v>23.5</v>
      </c>
      <c r="P60">
        <v>2</v>
      </c>
      <c r="Q60">
        <v>1</v>
      </c>
      <c r="R60">
        <v>0</v>
      </c>
      <c r="S60" t="s">
        <v>63</v>
      </c>
      <c r="T60">
        <v>0</v>
      </c>
      <c r="U60">
        <v>0</v>
      </c>
      <c r="V60">
        <v>0</v>
      </c>
      <c r="W60">
        <v>0</v>
      </c>
      <c r="X60" t="s">
        <v>58</v>
      </c>
    </row>
    <row r="61" customHeight="1" spans="1:24">
      <c r="A61" t="s">
        <v>124</v>
      </c>
      <c r="B61">
        <v>19</v>
      </c>
      <c r="C61">
        <v>61</v>
      </c>
      <c r="D61" t="s">
        <v>72</v>
      </c>
      <c r="E61" t="s">
        <v>76</v>
      </c>
      <c r="F61" t="s">
        <v>58</v>
      </c>
      <c r="G61">
        <v>236</v>
      </c>
      <c r="H61">
        <v>46</v>
      </c>
      <c r="I61">
        <v>81</v>
      </c>
      <c r="J61">
        <v>953.85</v>
      </c>
      <c r="K61">
        <v>0</v>
      </c>
      <c r="L61" t="s">
        <v>62</v>
      </c>
      <c r="M61">
        <v>0</v>
      </c>
      <c r="N61">
        <v>0</v>
      </c>
      <c r="O61">
        <v>29.4</v>
      </c>
      <c r="P61">
        <v>0</v>
      </c>
      <c r="Q61">
        <v>1</v>
      </c>
      <c r="R61">
        <v>0</v>
      </c>
      <c r="S61" t="s">
        <v>63</v>
      </c>
      <c r="T61">
        <v>0</v>
      </c>
      <c r="U61">
        <v>0</v>
      </c>
      <c r="V61">
        <v>0</v>
      </c>
      <c r="W61">
        <v>0</v>
      </c>
      <c r="X61" t="s">
        <v>58</v>
      </c>
    </row>
    <row r="62" customHeight="1" spans="1:24">
      <c r="A62" t="s">
        <v>125</v>
      </c>
      <c r="B62">
        <v>45</v>
      </c>
      <c r="C62">
        <v>39</v>
      </c>
      <c r="D62" t="s">
        <v>53</v>
      </c>
      <c r="E62" t="s">
        <v>76</v>
      </c>
      <c r="F62" t="s">
        <v>55</v>
      </c>
      <c r="G62">
        <v>289</v>
      </c>
      <c r="H62">
        <v>25.58</v>
      </c>
      <c r="I62">
        <v>116</v>
      </c>
      <c r="J62">
        <v>483.91</v>
      </c>
      <c r="K62">
        <v>0</v>
      </c>
      <c r="L62" t="s">
        <v>62</v>
      </c>
      <c r="M62">
        <v>1</v>
      </c>
      <c r="N62">
        <v>3</v>
      </c>
      <c r="O62">
        <v>12.2</v>
      </c>
      <c r="P62">
        <v>0</v>
      </c>
      <c r="Q62">
        <v>0</v>
      </c>
      <c r="R62">
        <v>0</v>
      </c>
      <c r="S62" t="s">
        <v>63</v>
      </c>
      <c r="T62">
        <v>1</v>
      </c>
      <c r="U62">
        <v>0</v>
      </c>
      <c r="V62">
        <v>0</v>
      </c>
      <c r="W62">
        <v>1</v>
      </c>
      <c r="X62" t="s">
        <v>55</v>
      </c>
    </row>
    <row r="63" customHeight="1" spans="1:24">
      <c r="A63" t="s">
        <v>126</v>
      </c>
      <c r="B63">
        <v>58</v>
      </c>
      <c r="C63">
        <v>15</v>
      </c>
      <c r="D63" t="s">
        <v>60</v>
      </c>
      <c r="E63" t="s">
        <v>69</v>
      </c>
      <c r="F63" t="s">
        <v>58</v>
      </c>
      <c r="G63">
        <v>411</v>
      </c>
      <c r="H63">
        <v>19.63</v>
      </c>
      <c r="I63">
        <v>136</v>
      </c>
      <c r="J63">
        <v>766.15</v>
      </c>
      <c r="K63">
        <v>0</v>
      </c>
      <c r="L63" t="s">
        <v>62</v>
      </c>
      <c r="M63">
        <v>0</v>
      </c>
      <c r="N63">
        <v>0</v>
      </c>
      <c r="O63">
        <v>54.6</v>
      </c>
      <c r="P63">
        <v>1</v>
      </c>
      <c r="Q63">
        <v>3</v>
      </c>
      <c r="R63">
        <v>0</v>
      </c>
      <c r="S63" t="s">
        <v>57</v>
      </c>
      <c r="T63">
        <v>0</v>
      </c>
      <c r="U63">
        <v>0</v>
      </c>
      <c r="V63">
        <v>0</v>
      </c>
      <c r="W63">
        <v>0</v>
      </c>
      <c r="X63" t="s">
        <v>58</v>
      </c>
    </row>
    <row r="64" customHeight="1" spans="1:24">
      <c r="A64" t="s">
        <v>127</v>
      </c>
      <c r="B64">
        <v>44</v>
      </c>
      <c r="C64">
        <v>43</v>
      </c>
      <c r="D64" t="s">
        <v>60</v>
      </c>
      <c r="E64" t="s">
        <v>69</v>
      </c>
      <c r="F64" t="s">
        <v>58</v>
      </c>
      <c r="G64">
        <v>258</v>
      </c>
      <c r="H64">
        <v>27.74</v>
      </c>
      <c r="I64">
        <v>69</v>
      </c>
      <c r="J64">
        <v>914.81</v>
      </c>
      <c r="K64">
        <v>0</v>
      </c>
      <c r="L64" t="s">
        <v>62</v>
      </c>
      <c r="M64">
        <v>0</v>
      </c>
      <c r="N64">
        <v>1</v>
      </c>
      <c r="O64">
        <v>20.6</v>
      </c>
      <c r="P64">
        <v>1</v>
      </c>
      <c r="Q64">
        <v>2</v>
      </c>
      <c r="R64">
        <v>0</v>
      </c>
      <c r="S64" t="s">
        <v>63</v>
      </c>
      <c r="T64">
        <v>0</v>
      </c>
      <c r="U64">
        <v>0</v>
      </c>
      <c r="V64">
        <v>0</v>
      </c>
      <c r="W64">
        <v>0</v>
      </c>
      <c r="X64" t="s">
        <v>58</v>
      </c>
    </row>
    <row r="65" customHeight="1" spans="1:24">
      <c r="A65" t="s">
        <v>128</v>
      </c>
      <c r="B65">
        <v>23</v>
      </c>
      <c r="C65">
        <v>11</v>
      </c>
      <c r="D65" t="s">
        <v>72</v>
      </c>
      <c r="E65" t="s">
        <v>54</v>
      </c>
      <c r="F65" t="s">
        <v>58</v>
      </c>
      <c r="G65">
        <v>323</v>
      </c>
      <c r="H65">
        <v>12.41</v>
      </c>
      <c r="I65">
        <v>0</v>
      </c>
      <c r="J65">
        <v>1262.43</v>
      </c>
      <c r="K65">
        <v>0</v>
      </c>
      <c r="L65" t="s">
        <v>62</v>
      </c>
      <c r="M65">
        <v>0</v>
      </c>
      <c r="N65">
        <v>0</v>
      </c>
      <c r="O65">
        <v>26.4</v>
      </c>
      <c r="P65">
        <v>0</v>
      </c>
      <c r="Q65">
        <v>0</v>
      </c>
      <c r="R65">
        <v>0</v>
      </c>
      <c r="S65" t="s">
        <v>57</v>
      </c>
      <c r="T65">
        <v>0</v>
      </c>
      <c r="U65">
        <v>0</v>
      </c>
      <c r="V65">
        <v>0</v>
      </c>
      <c r="W65">
        <v>0</v>
      </c>
      <c r="X65" t="s">
        <v>58</v>
      </c>
    </row>
    <row r="66" customHeight="1" spans="1:24">
      <c r="A66" t="s">
        <v>129</v>
      </c>
      <c r="B66">
        <v>56</v>
      </c>
      <c r="C66">
        <v>2</v>
      </c>
      <c r="D66" t="s">
        <v>60</v>
      </c>
      <c r="E66" t="s">
        <v>76</v>
      </c>
      <c r="F66" t="s">
        <v>58</v>
      </c>
      <c r="G66">
        <v>216</v>
      </c>
      <c r="H66">
        <v>19.08</v>
      </c>
      <c r="I66">
        <v>64</v>
      </c>
      <c r="J66">
        <v>794.77</v>
      </c>
      <c r="K66">
        <v>1</v>
      </c>
      <c r="L66" t="s">
        <v>56</v>
      </c>
      <c r="M66">
        <v>1</v>
      </c>
      <c r="N66">
        <v>1</v>
      </c>
      <c r="O66">
        <v>30.8</v>
      </c>
      <c r="P66">
        <v>1</v>
      </c>
      <c r="Q66">
        <v>1</v>
      </c>
      <c r="R66">
        <v>2</v>
      </c>
      <c r="S66" t="s">
        <v>66</v>
      </c>
      <c r="T66">
        <v>1</v>
      </c>
      <c r="U66">
        <v>1</v>
      </c>
      <c r="V66">
        <v>0</v>
      </c>
      <c r="W66">
        <v>0</v>
      </c>
      <c r="X66" t="s">
        <v>58</v>
      </c>
    </row>
    <row r="67" customHeight="1" spans="1:24">
      <c r="A67" t="s">
        <v>130</v>
      </c>
      <c r="B67">
        <v>41</v>
      </c>
      <c r="C67">
        <v>46</v>
      </c>
      <c r="D67" t="s">
        <v>53</v>
      </c>
      <c r="E67" t="s">
        <v>76</v>
      </c>
      <c r="F67" t="s">
        <v>58</v>
      </c>
      <c r="G67">
        <v>426</v>
      </c>
      <c r="H67">
        <v>11.52</v>
      </c>
      <c r="I67">
        <v>68</v>
      </c>
      <c r="J67">
        <v>513.37</v>
      </c>
      <c r="K67">
        <v>0</v>
      </c>
      <c r="L67" t="s">
        <v>62</v>
      </c>
      <c r="M67">
        <v>1</v>
      </c>
      <c r="N67">
        <v>1</v>
      </c>
      <c r="O67">
        <v>19.1</v>
      </c>
      <c r="P67">
        <v>1</v>
      </c>
      <c r="Q67">
        <v>1</v>
      </c>
      <c r="R67">
        <v>0</v>
      </c>
      <c r="S67" t="s">
        <v>63</v>
      </c>
      <c r="T67">
        <v>1</v>
      </c>
      <c r="U67">
        <v>0</v>
      </c>
      <c r="V67">
        <v>0</v>
      </c>
      <c r="W67">
        <v>0</v>
      </c>
      <c r="X67" t="s">
        <v>58</v>
      </c>
    </row>
    <row r="68" customHeight="1" spans="1:24">
      <c r="A68" t="s">
        <v>131</v>
      </c>
      <c r="B68">
        <v>53</v>
      </c>
      <c r="C68">
        <v>38</v>
      </c>
      <c r="D68" t="s">
        <v>60</v>
      </c>
      <c r="E68" t="s">
        <v>54</v>
      </c>
      <c r="F68" t="s">
        <v>55</v>
      </c>
      <c r="G68">
        <v>464</v>
      </c>
      <c r="H68">
        <v>21.98</v>
      </c>
      <c r="I68">
        <v>66</v>
      </c>
      <c r="J68">
        <v>646.34</v>
      </c>
      <c r="K68">
        <v>0</v>
      </c>
      <c r="L68" t="s">
        <v>62</v>
      </c>
      <c r="M68">
        <v>0</v>
      </c>
      <c r="N68">
        <v>0</v>
      </c>
      <c r="O68">
        <v>23.7</v>
      </c>
      <c r="P68">
        <v>2</v>
      </c>
      <c r="Q68">
        <v>0</v>
      </c>
      <c r="R68">
        <v>0</v>
      </c>
      <c r="S68" t="s">
        <v>63</v>
      </c>
      <c r="T68">
        <v>0</v>
      </c>
      <c r="U68">
        <v>0</v>
      </c>
      <c r="V68">
        <v>0</v>
      </c>
      <c r="W68">
        <v>1</v>
      </c>
      <c r="X68" t="s">
        <v>55</v>
      </c>
    </row>
    <row r="69" customHeight="1" spans="1:24">
      <c r="A69" t="s">
        <v>132</v>
      </c>
      <c r="B69">
        <v>18</v>
      </c>
      <c r="C69">
        <v>55</v>
      </c>
      <c r="D69" t="s">
        <v>53</v>
      </c>
      <c r="E69" t="s">
        <v>54</v>
      </c>
      <c r="F69" t="s">
        <v>58</v>
      </c>
      <c r="G69">
        <v>460</v>
      </c>
      <c r="H69">
        <v>11.48</v>
      </c>
      <c r="I69">
        <v>188</v>
      </c>
      <c r="J69">
        <v>407.9</v>
      </c>
      <c r="K69">
        <v>1</v>
      </c>
      <c r="L69" t="s">
        <v>56</v>
      </c>
      <c r="M69">
        <v>0</v>
      </c>
      <c r="N69">
        <v>4</v>
      </c>
      <c r="O69">
        <v>23.9</v>
      </c>
      <c r="P69">
        <v>0</v>
      </c>
      <c r="Q69">
        <v>0</v>
      </c>
      <c r="R69">
        <v>0</v>
      </c>
      <c r="S69" t="s">
        <v>63</v>
      </c>
      <c r="T69">
        <v>0</v>
      </c>
      <c r="U69">
        <v>1</v>
      </c>
      <c r="V69">
        <v>0</v>
      </c>
      <c r="W69">
        <v>0</v>
      </c>
      <c r="X69" t="s">
        <v>58</v>
      </c>
    </row>
    <row r="70" customHeight="1" spans="1:24">
      <c r="A70" t="s">
        <v>133</v>
      </c>
      <c r="B70">
        <v>18</v>
      </c>
      <c r="C70">
        <v>25</v>
      </c>
      <c r="D70" t="s">
        <v>72</v>
      </c>
      <c r="E70" t="s">
        <v>76</v>
      </c>
      <c r="F70" t="s">
        <v>55</v>
      </c>
      <c r="G70">
        <v>402</v>
      </c>
      <c r="H70">
        <v>11.13</v>
      </c>
      <c r="I70">
        <v>35</v>
      </c>
      <c r="J70">
        <v>1124.6</v>
      </c>
      <c r="K70">
        <v>0</v>
      </c>
      <c r="L70" t="s">
        <v>62</v>
      </c>
      <c r="M70">
        <v>0</v>
      </c>
      <c r="N70">
        <v>0</v>
      </c>
      <c r="O70">
        <v>13</v>
      </c>
      <c r="P70">
        <v>0</v>
      </c>
      <c r="Q70">
        <v>1</v>
      </c>
      <c r="R70">
        <v>0</v>
      </c>
      <c r="S70" t="s">
        <v>63</v>
      </c>
      <c r="T70">
        <v>0</v>
      </c>
      <c r="U70">
        <v>0</v>
      </c>
      <c r="V70">
        <v>0</v>
      </c>
      <c r="W70">
        <v>1</v>
      </c>
      <c r="X70" t="s">
        <v>55</v>
      </c>
    </row>
    <row r="71" customHeight="1" spans="1:24">
      <c r="A71" t="s">
        <v>134</v>
      </c>
      <c r="B71">
        <v>52</v>
      </c>
      <c r="C71">
        <v>62</v>
      </c>
      <c r="D71" t="s">
        <v>60</v>
      </c>
      <c r="E71" t="s">
        <v>76</v>
      </c>
      <c r="F71" t="s">
        <v>58</v>
      </c>
      <c r="G71">
        <v>169</v>
      </c>
      <c r="H71">
        <v>22.13</v>
      </c>
      <c r="I71">
        <v>141</v>
      </c>
      <c r="J71">
        <v>687.44</v>
      </c>
      <c r="K71">
        <v>1</v>
      </c>
      <c r="L71" t="s">
        <v>56</v>
      </c>
      <c r="M71">
        <v>1</v>
      </c>
      <c r="N71">
        <v>2</v>
      </c>
      <c r="O71">
        <v>29.3</v>
      </c>
      <c r="P71">
        <v>1</v>
      </c>
      <c r="Q71">
        <v>1</v>
      </c>
      <c r="R71">
        <v>0</v>
      </c>
      <c r="S71" t="s">
        <v>63</v>
      </c>
      <c r="T71">
        <v>1</v>
      </c>
      <c r="U71">
        <v>1</v>
      </c>
      <c r="V71">
        <v>0</v>
      </c>
      <c r="W71">
        <v>0</v>
      </c>
      <c r="X71" t="s">
        <v>58</v>
      </c>
    </row>
    <row r="72" customHeight="1" spans="1:24">
      <c r="A72" t="s">
        <v>135</v>
      </c>
      <c r="B72">
        <v>74</v>
      </c>
      <c r="C72">
        <v>31</v>
      </c>
      <c r="D72" t="s">
        <v>60</v>
      </c>
      <c r="E72" t="s">
        <v>61</v>
      </c>
      <c r="F72" t="s">
        <v>58</v>
      </c>
      <c r="G72">
        <v>307</v>
      </c>
      <c r="H72">
        <v>17.41</v>
      </c>
      <c r="I72">
        <v>131</v>
      </c>
      <c r="J72">
        <v>857.57</v>
      </c>
      <c r="K72">
        <v>1</v>
      </c>
      <c r="L72" t="s">
        <v>56</v>
      </c>
      <c r="M72">
        <v>1</v>
      </c>
      <c r="N72">
        <v>2</v>
      </c>
      <c r="O72">
        <v>4.2</v>
      </c>
      <c r="P72">
        <v>1</v>
      </c>
      <c r="Q72">
        <v>0</v>
      </c>
      <c r="R72">
        <v>0</v>
      </c>
      <c r="S72" t="s">
        <v>63</v>
      </c>
      <c r="T72">
        <v>1</v>
      </c>
      <c r="U72">
        <v>1</v>
      </c>
      <c r="V72">
        <v>1</v>
      </c>
      <c r="W72">
        <v>0</v>
      </c>
      <c r="X72" t="s">
        <v>58</v>
      </c>
    </row>
    <row r="73" customHeight="1" spans="1:24">
      <c r="A73" t="s">
        <v>136</v>
      </c>
      <c r="B73">
        <v>55</v>
      </c>
      <c r="C73">
        <v>54</v>
      </c>
      <c r="D73" t="s">
        <v>53</v>
      </c>
      <c r="E73" t="s">
        <v>69</v>
      </c>
      <c r="F73" t="s">
        <v>58</v>
      </c>
      <c r="G73">
        <v>339</v>
      </c>
      <c r="H73">
        <v>0.5</v>
      </c>
      <c r="I73">
        <v>187</v>
      </c>
      <c r="J73">
        <v>458.66</v>
      </c>
      <c r="K73">
        <v>0</v>
      </c>
      <c r="L73" t="s">
        <v>62</v>
      </c>
      <c r="M73">
        <v>0</v>
      </c>
      <c r="N73">
        <v>0</v>
      </c>
      <c r="O73">
        <v>45</v>
      </c>
      <c r="P73">
        <v>2</v>
      </c>
      <c r="Q73">
        <v>1</v>
      </c>
      <c r="R73">
        <v>0</v>
      </c>
      <c r="S73" t="s">
        <v>63</v>
      </c>
      <c r="T73">
        <v>0</v>
      </c>
      <c r="U73">
        <v>0</v>
      </c>
      <c r="V73">
        <v>1</v>
      </c>
      <c r="W73">
        <v>0</v>
      </c>
      <c r="X73" t="s">
        <v>58</v>
      </c>
    </row>
    <row r="74" customHeight="1" spans="1:24">
      <c r="A74" t="s">
        <v>137</v>
      </c>
      <c r="B74">
        <v>72</v>
      </c>
      <c r="C74">
        <v>8</v>
      </c>
      <c r="D74" t="s">
        <v>60</v>
      </c>
      <c r="E74" t="s">
        <v>61</v>
      </c>
      <c r="F74" t="s">
        <v>58</v>
      </c>
      <c r="G74">
        <v>340</v>
      </c>
      <c r="H74">
        <v>3.44</v>
      </c>
      <c r="I74">
        <v>111</v>
      </c>
      <c r="J74">
        <v>719.55</v>
      </c>
      <c r="K74">
        <v>1</v>
      </c>
      <c r="L74" t="s">
        <v>56</v>
      </c>
      <c r="M74">
        <v>0</v>
      </c>
      <c r="N74">
        <v>0</v>
      </c>
      <c r="O74">
        <v>33.5</v>
      </c>
      <c r="P74">
        <v>1</v>
      </c>
      <c r="Q74">
        <v>1</v>
      </c>
      <c r="R74">
        <v>1</v>
      </c>
      <c r="S74" t="s">
        <v>57</v>
      </c>
      <c r="T74">
        <v>0</v>
      </c>
      <c r="U74">
        <v>1</v>
      </c>
      <c r="V74">
        <v>1</v>
      </c>
      <c r="W74">
        <v>0</v>
      </c>
      <c r="X74" t="s">
        <v>58</v>
      </c>
    </row>
    <row r="75" customHeight="1" spans="1:24">
      <c r="A75" t="s">
        <v>138</v>
      </c>
      <c r="B75">
        <v>67</v>
      </c>
      <c r="C75">
        <v>7</v>
      </c>
      <c r="D75" t="s">
        <v>72</v>
      </c>
      <c r="E75" t="s">
        <v>61</v>
      </c>
      <c r="F75" t="s">
        <v>55</v>
      </c>
      <c r="G75">
        <v>411</v>
      </c>
      <c r="H75">
        <v>6.53</v>
      </c>
      <c r="I75">
        <v>175</v>
      </c>
      <c r="J75">
        <v>1271.37</v>
      </c>
      <c r="K75">
        <v>1</v>
      </c>
      <c r="L75" t="s">
        <v>56</v>
      </c>
      <c r="M75">
        <v>0</v>
      </c>
      <c r="N75">
        <v>0</v>
      </c>
      <c r="O75">
        <v>31.7</v>
      </c>
      <c r="P75">
        <v>1</v>
      </c>
      <c r="Q75">
        <v>0</v>
      </c>
      <c r="R75">
        <v>2</v>
      </c>
      <c r="S75" t="s">
        <v>57</v>
      </c>
      <c r="T75">
        <v>0</v>
      </c>
      <c r="U75">
        <v>1</v>
      </c>
      <c r="V75">
        <v>0</v>
      </c>
      <c r="W75">
        <v>1</v>
      </c>
      <c r="X75" t="s">
        <v>55</v>
      </c>
    </row>
    <row r="76" customHeight="1" spans="1:24">
      <c r="A76" t="s">
        <v>139</v>
      </c>
      <c r="B76">
        <v>34</v>
      </c>
      <c r="C76">
        <v>57</v>
      </c>
      <c r="D76" t="s">
        <v>60</v>
      </c>
      <c r="E76" t="s">
        <v>61</v>
      </c>
      <c r="F76" t="s">
        <v>58</v>
      </c>
      <c r="G76">
        <v>614</v>
      </c>
      <c r="H76">
        <v>17.41</v>
      </c>
      <c r="I76">
        <v>108</v>
      </c>
      <c r="J76">
        <v>743.99</v>
      </c>
      <c r="K76">
        <v>1</v>
      </c>
      <c r="L76" t="s">
        <v>56</v>
      </c>
      <c r="M76">
        <v>0</v>
      </c>
      <c r="N76">
        <v>0</v>
      </c>
      <c r="O76">
        <v>3.2</v>
      </c>
      <c r="P76">
        <v>1</v>
      </c>
      <c r="Q76">
        <v>1</v>
      </c>
      <c r="R76">
        <v>1</v>
      </c>
      <c r="S76" t="s">
        <v>63</v>
      </c>
      <c r="T76">
        <v>0</v>
      </c>
      <c r="U76">
        <v>1</v>
      </c>
      <c r="V76">
        <v>1</v>
      </c>
      <c r="W76">
        <v>0</v>
      </c>
      <c r="X76" t="s">
        <v>58</v>
      </c>
    </row>
    <row r="77" customHeight="1" spans="1:24">
      <c r="A77" t="s">
        <v>140</v>
      </c>
      <c r="B77">
        <v>23</v>
      </c>
      <c r="C77">
        <v>61</v>
      </c>
      <c r="D77" t="s">
        <v>60</v>
      </c>
      <c r="E77" t="s">
        <v>65</v>
      </c>
      <c r="F77" t="s">
        <v>58</v>
      </c>
      <c r="G77">
        <v>522</v>
      </c>
      <c r="H77">
        <v>22.14</v>
      </c>
      <c r="I77">
        <v>150</v>
      </c>
      <c r="J77">
        <v>751.26</v>
      </c>
      <c r="K77">
        <v>2</v>
      </c>
      <c r="L77" t="s">
        <v>56</v>
      </c>
      <c r="M77">
        <v>0</v>
      </c>
      <c r="N77">
        <v>0</v>
      </c>
      <c r="O77">
        <v>23.7</v>
      </c>
      <c r="P77">
        <v>0</v>
      </c>
      <c r="Q77">
        <v>0</v>
      </c>
      <c r="R77">
        <v>0</v>
      </c>
      <c r="S77" t="s">
        <v>63</v>
      </c>
      <c r="T77">
        <v>0</v>
      </c>
      <c r="U77">
        <v>1</v>
      </c>
      <c r="V77">
        <v>0</v>
      </c>
      <c r="W77">
        <v>0</v>
      </c>
      <c r="X77" t="s">
        <v>58</v>
      </c>
    </row>
    <row r="78" customHeight="1" spans="1:24">
      <c r="A78" t="s">
        <v>141</v>
      </c>
      <c r="B78">
        <v>50</v>
      </c>
      <c r="C78">
        <v>68</v>
      </c>
      <c r="D78" t="s">
        <v>72</v>
      </c>
      <c r="E78" t="s">
        <v>61</v>
      </c>
      <c r="F78" t="s">
        <v>55</v>
      </c>
      <c r="G78">
        <v>252</v>
      </c>
      <c r="H78">
        <v>20.19</v>
      </c>
      <c r="I78">
        <v>15</v>
      </c>
      <c r="J78">
        <v>889.18</v>
      </c>
      <c r="K78">
        <v>0</v>
      </c>
      <c r="L78" t="s">
        <v>62</v>
      </c>
      <c r="M78">
        <v>1</v>
      </c>
      <c r="N78">
        <v>1</v>
      </c>
      <c r="O78">
        <v>40.7</v>
      </c>
      <c r="P78">
        <v>0</v>
      </c>
      <c r="Q78">
        <v>0</v>
      </c>
      <c r="R78">
        <v>0</v>
      </c>
      <c r="S78" t="s">
        <v>63</v>
      </c>
      <c r="T78">
        <v>1</v>
      </c>
      <c r="U78">
        <v>0</v>
      </c>
      <c r="V78">
        <v>0</v>
      </c>
      <c r="W78">
        <v>1</v>
      </c>
      <c r="X78" t="s">
        <v>55</v>
      </c>
    </row>
    <row r="79" customHeight="1" spans="1:24">
      <c r="A79" t="s">
        <v>142</v>
      </c>
      <c r="B79">
        <v>53</v>
      </c>
      <c r="C79">
        <v>24</v>
      </c>
      <c r="D79" t="s">
        <v>72</v>
      </c>
      <c r="E79" t="s">
        <v>69</v>
      </c>
      <c r="F79" t="s">
        <v>58</v>
      </c>
      <c r="G79">
        <v>502</v>
      </c>
      <c r="H79">
        <v>28.65</v>
      </c>
      <c r="I79">
        <v>0</v>
      </c>
      <c r="J79">
        <v>991.56</v>
      </c>
      <c r="K79">
        <v>0</v>
      </c>
      <c r="L79" t="s">
        <v>62</v>
      </c>
      <c r="M79">
        <v>1</v>
      </c>
      <c r="N79">
        <v>1</v>
      </c>
      <c r="O79">
        <v>73.8</v>
      </c>
      <c r="P79">
        <v>2</v>
      </c>
      <c r="Q79">
        <v>2</v>
      </c>
      <c r="R79">
        <v>1</v>
      </c>
      <c r="S79" t="s">
        <v>57</v>
      </c>
      <c r="T79">
        <v>1</v>
      </c>
      <c r="U79">
        <v>0</v>
      </c>
      <c r="V79">
        <v>0</v>
      </c>
      <c r="W79">
        <v>0</v>
      </c>
      <c r="X79" t="s">
        <v>58</v>
      </c>
    </row>
    <row r="80" customHeight="1" spans="1:24">
      <c r="A80" t="s">
        <v>143</v>
      </c>
      <c r="B80">
        <v>62</v>
      </c>
      <c r="C80">
        <v>2</v>
      </c>
      <c r="D80" t="s">
        <v>53</v>
      </c>
      <c r="E80" t="s">
        <v>61</v>
      </c>
      <c r="F80" t="s">
        <v>58</v>
      </c>
      <c r="G80">
        <v>496</v>
      </c>
      <c r="H80">
        <v>25.53</v>
      </c>
      <c r="I80">
        <v>146</v>
      </c>
      <c r="J80">
        <v>574.76</v>
      </c>
      <c r="K80">
        <v>0</v>
      </c>
      <c r="L80" t="s">
        <v>62</v>
      </c>
      <c r="M80">
        <v>0</v>
      </c>
      <c r="N80">
        <v>0</v>
      </c>
      <c r="O80">
        <v>38.3</v>
      </c>
      <c r="P80">
        <v>0</v>
      </c>
      <c r="Q80">
        <v>1</v>
      </c>
      <c r="R80">
        <v>0</v>
      </c>
      <c r="S80" t="s">
        <v>66</v>
      </c>
      <c r="T80">
        <v>0</v>
      </c>
      <c r="U80">
        <v>0</v>
      </c>
      <c r="V80">
        <v>0</v>
      </c>
      <c r="W80">
        <v>0</v>
      </c>
      <c r="X80" t="s">
        <v>58</v>
      </c>
    </row>
    <row r="81" customHeight="1" spans="1:24">
      <c r="A81" t="s">
        <v>144</v>
      </c>
      <c r="B81">
        <v>48</v>
      </c>
      <c r="C81">
        <v>71</v>
      </c>
      <c r="D81" t="s">
        <v>60</v>
      </c>
      <c r="E81" t="s">
        <v>61</v>
      </c>
      <c r="F81" t="s">
        <v>55</v>
      </c>
      <c r="G81">
        <v>279</v>
      </c>
      <c r="H81">
        <v>28.72</v>
      </c>
      <c r="I81">
        <v>150</v>
      </c>
      <c r="J81">
        <v>718.77</v>
      </c>
      <c r="K81">
        <v>0</v>
      </c>
      <c r="L81" t="s">
        <v>62</v>
      </c>
      <c r="M81">
        <v>0</v>
      </c>
      <c r="N81">
        <v>0</v>
      </c>
      <c r="O81">
        <v>23.7</v>
      </c>
      <c r="P81">
        <v>2</v>
      </c>
      <c r="Q81">
        <v>1</v>
      </c>
      <c r="R81">
        <v>0</v>
      </c>
      <c r="S81" t="s">
        <v>63</v>
      </c>
      <c r="T81">
        <v>0</v>
      </c>
      <c r="U81">
        <v>0</v>
      </c>
      <c r="V81">
        <v>0</v>
      </c>
      <c r="W81">
        <v>1</v>
      </c>
      <c r="X81" t="s">
        <v>55</v>
      </c>
    </row>
    <row r="82" customHeight="1" spans="1:24">
      <c r="A82" t="s">
        <v>145</v>
      </c>
      <c r="B82">
        <v>71</v>
      </c>
      <c r="C82">
        <v>44</v>
      </c>
      <c r="D82" t="s">
        <v>60</v>
      </c>
      <c r="E82" t="s">
        <v>54</v>
      </c>
      <c r="F82" t="s">
        <v>58</v>
      </c>
      <c r="G82">
        <v>527</v>
      </c>
      <c r="H82">
        <v>24.08</v>
      </c>
      <c r="I82">
        <v>153</v>
      </c>
      <c r="J82">
        <v>591.44</v>
      </c>
      <c r="K82">
        <v>0</v>
      </c>
      <c r="L82" t="s">
        <v>62</v>
      </c>
      <c r="M82">
        <v>2</v>
      </c>
      <c r="N82">
        <v>2</v>
      </c>
      <c r="O82">
        <v>30.3</v>
      </c>
      <c r="P82">
        <v>0</v>
      </c>
      <c r="Q82">
        <v>3</v>
      </c>
      <c r="R82">
        <v>0</v>
      </c>
      <c r="S82" t="s">
        <v>63</v>
      </c>
      <c r="T82">
        <v>1</v>
      </c>
      <c r="U82">
        <v>0</v>
      </c>
      <c r="V82">
        <v>0</v>
      </c>
      <c r="W82">
        <v>0</v>
      </c>
      <c r="X82" t="s">
        <v>58</v>
      </c>
    </row>
    <row r="83" customHeight="1" spans="1:24">
      <c r="A83" t="s">
        <v>146</v>
      </c>
      <c r="B83">
        <v>66</v>
      </c>
      <c r="C83">
        <v>18</v>
      </c>
      <c r="D83" t="s">
        <v>60</v>
      </c>
      <c r="E83" t="s">
        <v>76</v>
      </c>
      <c r="F83" t="s">
        <v>58</v>
      </c>
      <c r="G83">
        <v>376</v>
      </c>
      <c r="H83">
        <v>20.1</v>
      </c>
      <c r="I83">
        <v>83</v>
      </c>
      <c r="J83">
        <v>657.95</v>
      </c>
      <c r="K83">
        <v>0</v>
      </c>
      <c r="L83" t="s">
        <v>62</v>
      </c>
      <c r="M83">
        <v>1</v>
      </c>
      <c r="N83">
        <v>1</v>
      </c>
      <c r="O83">
        <v>13.8</v>
      </c>
      <c r="P83">
        <v>3</v>
      </c>
      <c r="Q83">
        <v>0</v>
      </c>
      <c r="R83">
        <v>0</v>
      </c>
      <c r="S83" t="s">
        <v>57</v>
      </c>
      <c r="T83">
        <v>1</v>
      </c>
      <c r="U83">
        <v>0</v>
      </c>
      <c r="V83">
        <v>0</v>
      </c>
      <c r="W83">
        <v>0</v>
      </c>
      <c r="X83" t="s">
        <v>58</v>
      </c>
    </row>
    <row r="84" customHeight="1" spans="1:24">
      <c r="A84" t="s">
        <v>147</v>
      </c>
      <c r="B84">
        <v>51</v>
      </c>
      <c r="C84">
        <v>55</v>
      </c>
      <c r="D84" t="s">
        <v>53</v>
      </c>
      <c r="E84" t="s">
        <v>54</v>
      </c>
      <c r="F84" t="s">
        <v>58</v>
      </c>
      <c r="G84">
        <v>189</v>
      </c>
      <c r="H84">
        <v>28.99</v>
      </c>
      <c r="I84">
        <v>224</v>
      </c>
      <c r="J84">
        <v>497.77</v>
      </c>
      <c r="K84">
        <v>0</v>
      </c>
      <c r="L84" t="s">
        <v>62</v>
      </c>
      <c r="M84">
        <v>2</v>
      </c>
      <c r="N84">
        <v>2</v>
      </c>
      <c r="O84">
        <v>35.9</v>
      </c>
      <c r="P84">
        <v>2</v>
      </c>
      <c r="Q84">
        <v>0</v>
      </c>
      <c r="R84">
        <v>1</v>
      </c>
      <c r="S84" t="s">
        <v>63</v>
      </c>
      <c r="T84">
        <v>1</v>
      </c>
      <c r="U84">
        <v>0</v>
      </c>
      <c r="V84">
        <v>0</v>
      </c>
      <c r="W84">
        <v>0</v>
      </c>
      <c r="X84" t="s">
        <v>58</v>
      </c>
    </row>
    <row r="85" customHeight="1" spans="1:24">
      <c r="A85" t="s">
        <v>148</v>
      </c>
      <c r="B85">
        <v>49</v>
      </c>
      <c r="C85">
        <v>66</v>
      </c>
      <c r="D85" t="s">
        <v>53</v>
      </c>
      <c r="E85" t="s">
        <v>54</v>
      </c>
      <c r="F85" t="s">
        <v>58</v>
      </c>
      <c r="G85">
        <v>468</v>
      </c>
      <c r="H85">
        <v>27.19</v>
      </c>
      <c r="I85">
        <v>88</v>
      </c>
      <c r="J85">
        <v>445.1</v>
      </c>
      <c r="K85">
        <v>0</v>
      </c>
      <c r="L85" t="s">
        <v>62</v>
      </c>
      <c r="M85">
        <v>0</v>
      </c>
      <c r="N85">
        <v>0</v>
      </c>
      <c r="O85">
        <v>10.8</v>
      </c>
      <c r="P85">
        <v>0</v>
      </c>
      <c r="Q85">
        <v>1</v>
      </c>
      <c r="R85">
        <v>0</v>
      </c>
      <c r="S85" t="s">
        <v>63</v>
      </c>
      <c r="T85">
        <v>0</v>
      </c>
      <c r="U85">
        <v>0</v>
      </c>
      <c r="V85">
        <v>0</v>
      </c>
      <c r="W85">
        <v>0</v>
      </c>
      <c r="X85" t="s">
        <v>58</v>
      </c>
    </row>
    <row r="86" customHeight="1" spans="1:24">
      <c r="A86" t="s">
        <v>149</v>
      </c>
      <c r="B86">
        <v>19</v>
      </c>
      <c r="C86">
        <v>21</v>
      </c>
      <c r="D86" t="s">
        <v>72</v>
      </c>
      <c r="E86" t="s">
        <v>61</v>
      </c>
      <c r="F86" t="s">
        <v>58</v>
      </c>
      <c r="G86">
        <v>433</v>
      </c>
      <c r="H86">
        <v>21.76</v>
      </c>
      <c r="I86">
        <v>149</v>
      </c>
      <c r="J86">
        <v>1178.31</v>
      </c>
      <c r="K86">
        <v>1</v>
      </c>
      <c r="L86" t="s">
        <v>56</v>
      </c>
      <c r="M86">
        <v>0</v>
      </c>
      <c r="N86">
        <v>1</v>
      </c>
      <c r="O86">
        <v>9.5</v>
      </c>
      <c r="P86">
        <v>1</v>
      </c>
      <c r="Q86">
        <v>0</v>
      </c>
      <c r="R86">
        <v>0</v>
      </c>
      <c r="S86" t="s">
        <v>57</v>
      </c>
      <c r="T86">
        <v>0</v>
      </c>
      <c r="U86">
        <v>1</v>
      </c>
      <c r="V86">
        <v>0</v>
      </c>
      <c r="W86">
        <v>0</v>
      </c>
      <c r="X86" t="s">
        <v>55</v>
      </c>
    </row>
    <row r="87" customHeight="1" spans="1:24">
      <c r="A87" t="s">
        <v>150</v>
      </c>
      <c r="B87">
        <v>63</v>
      </c>
      <c r="C87">
        <v>56</v>
      </c>
      <c r="D87" t="s">
        <v>72</v>
      </c>
      <c r="E87" t="s">
        <v>54</v>
      </c>
      <c r="F87" t="s">
        <v>55</v>
      </c>
      <c r="G87">
        <v>366</v>
      </c>
      <c r="H87">
        <v>30.71</v>
      </c>
      <c r="I87">
        <v>162</v>
      </c>
      <c r="J87">
        <v>1044.38</v>
      </c>
      <c r="K87">
        <v>0</v>
      </c>
      <c r="L87" t="s">
        <v>62</v>
      </c>
      <c r="M87">
        <v>0</v>
      </c>
      <c r="N87">
        <v>0</v>
      </c>
      <c r="O87">
        <v>8.7</v>
      </c>
      <c r="P87">
        <v>1</v>
      </c>
      <c r="Q87">
        <v>0</v>
      </c>
      <c r="R87">
        <v>0</v>
      </c>
      <c r="S87" t="s">
        <v>63</v>
      </c>
      <c r="T87">
        <v>0</v>
      </c>
      <c r="U87">
        <v>0</v>
      </c>
      <c r="V87">
        <v>0</v>
      </c>
      <c r="W87">
        <v>1</v>
      </c>
      <c r="X87" t="s">
        <v>55</v>
      </c>
    </row>
    <row r="88" customHeight="1" spans="1:24">
      <c r="A88" t="s">
        <v>151</v>
      </c>
      <c r="B88">
        <v>57</v>
      </c>
      <c r="C88">
        <v>57</v>
      </c>
      <c r="D88" t="s">
        <v>72</v>
      </c>
      <c r="E88" t="s">
        <v>69</v>
      </c>
      <c r="F88" t="s">
        <v>55</v>
      </c>
      <c r="G88">
        <v>394</v>
      </c>
      <c r="H88">
        <v>0.5</v>
      </c>
      <c r="I88">
        <v>240</v>
      </c>
      <c r="J88">
        <v>1364.72</v>
      </c>
      <c r="K88">
        <v>2</v>
      </c>
      <c r="L88" t="s">
        <v>56</v>
      </c>
      <c r="M88">
        <v>1</v>
      </c>
      <c r="N88">
        <v>1</v>
      </c>
      <c r="O88">
        <v>35.7</v>
      </c>
      <c r="P88">
        <v>1</v>
      </c>
      <c r="Q88">
        <v>1</v>
      </c>
      <c r="R88">
        <v>1</v>
      </c>
      <c r="S88" t="s">
        <v>63</v>
      </c>
      <c r="T88">
        <v>1</v>
      </c>
      <c r="U88">
        <v>1</v>
      </c>
      <c r="V88">
        <v>1</v>
      </c>
      <c r="W88">
        <v>1</v>
      </c>
      <c r="X88" t="s">
        <v>55</v>
      </c>
    </row>
    <row r="89" customHeight="1" spans="1:24">
      <c r="A89" t="s">
        <v>152</v>
      </c>
      <c r="B89">
        <v>69</v>
      </c>
      <c r="C89">
        <v>37</v>
      </c>
      <c r="D89" t="s">
        <v>72</v>
      </c>
      <c r="E89" t="s">
        <v>69</v>
      </c>
      <c r="F89" t="s">
        <v>55</v>
      </c>
      <c r="G89">
        <v>292</v>
      </c>
      <c r="H89">
        <v>15.1</v>
      </c>
      <c r="I89">
        <v>98</v>
      </c>
      <c r="J89">
        <v>1286.29</v>
      </c>
      <c r="K89">
        <v>0</v>
      </c>
      <c r="L89" t="s">
        <v>62</v>
      </c>
      <c r="M89">
        <v>0</v>
      </c>
      <c r="N89">
        <v>1</v>
      </c>
      <c r="O89">
        <v>23.3</v>
      </c>
      <c r="P89">
        <v>0</v>
      </c>
      <c r="Q89">
        <v>1</v>
      </c>
      <c r="R89">
        <v>0</v>
      </c>
      <c r="S89" t="s">
        <v>63</v>
      </c>
      <c r="T89">
        <v>0</v>
      </c>
      <c r="U89">
        <v>0</v>
      </c>
      <c r="V89">
        <v>0</v>
      </c>
      <c r="W89">
        <v>1</v>
      </c>
      <c r="X89" t="s">
        <v>55</v>
      </c>
    </row>
    <row r="90" customHeight="1" spans="1:24">
      <c r="A90" t="s">
        <v>153</v>
      </c>
      <c r="B90">
        <v>23</v>
      </c>
      <c r="C90">
        <v>46</v>
      </c>
      <c r="D90" t="s">
        <v>60</v>
      </c>
      <c r="E90" t="s">
        <v>69</v>
      </c>
      <c r="F90" t="s">
        <v>58</v>
      </c>
      <c r="G90">
        <v>492</v>
      </c>
      <c r="H90">
        <v>14.94</v>
      </c>
      <c r="I90">
        <v>74</v>
      </c>
      <c r="J90">
        <v>731.32</v>
      </c>
      <c r="K90">
        <v>0</v>
      </c>
      <c r="L90" t="s">
        <v>62</v>
      </c>
      <c r="M90">
        <v>0</v>
      </c>
      <c r="N90">
        <v>0</v>
      </c>
      <c r="O90">
        <v>25.2</v>
      </c>
      <c r="P90">
        <v>2</v>
      </c>
      <c r="Q90">
        <v>0</v>
      </c>
      <c r="R90">
        <v>0</v>
      </c>
      <c r="S90" t="s">
        <v>63</v>
      </c>
      <c r="T90">
        <v>0</v>
      </c>
      <c r="U90">
        <v>0</v>
      </c>
      <c r="V90">
        <v>0</v>
      </c>
      <c r="W90">
        <v>0</v>
      </c>
      <c r="X90" t="s">
        <v>58</v>
      </c>
    </row>
    <row r="91" customHeight="1" spans="1:24">
      <c r="A91" t="s">
        <v>154</v>
      </c>
      <c r="B91">
        <v>26</v>
      </c>
      <c r="C91">
        <v>20</v>
      </c>
      <c r="D91" t="s">
        <v>72</v>
      </c>
      <c r="E91" t="s">
        <v>54</v>
      </c>
      <c r="F91" t="s">
        <v>58</v>
      </c>
      <c r="G91">
        <v>393</v>
      </c>
      <c r="H91">
        <v>29.53</v>
      </c>
      <c r="I91">
        <v>15</v>
      </c>
      <c r="J91">
        <v>1419.13</v>
      </c>
      <c r="K91">
        <v>2</v>
      </c>
      <c r="L91" t="s">
        <v>56</v>
      </c>
      <c r="M91">
        <v>1</v>
      </c>
      <c r="N91">
        <v>1</v>
      </c>
      <c r="O91">
        <v>23.8</v>
      </c>
      <c r="P91">
        <v>1</v>
      </c>
      <c r="Q91">
        <v>0</v>
      </c>
      <c r="R91">
        <v>2</v>
      </c>
      <c r="S91" t="s">
        <v>57</v>
      </c>
      <c r="T91">
        <v>1</v>
      </c>
      <c r="U91">
        <v>1</v>
      </c>
      <c r="V91">
        <v>0</v>
      </c>
      <c r="W91">
        <v>0</v>
      </c>
      <c r="X91" t="s">
        <v>58</v>
      </c>
    </row>
    <row r="92" customHeight="1" spans="1:24">
      <c r="A92" t="s">
        <v>155</v>
      </c>
      <c r="B92">
        <v>56</v>
      </c>
      <c r="C92">
        <v>67</v>
      </c>
      <c r="D92" t="s">
        <v>72</v>
      </c>
      <c r="E92" t="s">
        <v>76</v>
      </c>
      <c r="F92" t="s">
        <v>58</v>
      </c>
      <c r="G92">
        <v>425</v>
      </c>
      <c r="H92">
        <v>33.71</v>
      </c>
      <c r="I92">
        <v>229</v>
      </c>
      <c r="J92">
        <v>925.17</v>
      </c>
      <c r="K92">
        <v>1</v>
      </c>
      <c r="L92" t="s">
        <v>56</v>
      </c>
      <c r="M92">
        <v>1</v>
      </c>
      <c r="N92">
        <v>1</v>
      </c>
      <c r="O92">
        <v>10.5</v>
      </c>
      <c r="P92">
        <v>0</v>
      </c>
      <c r="Q92">
        <v>1</v>
      </c>
      <c r="R92">
        <v>0</v>
      </c>
      <c r="S92" t="s">
        <v>63</v>
      </c>
      <c r="T92">
        <v>1</v>
      </c>
      <c r="U92">
        <v>1</v>
      </c>
      <c r="V92">
        <v>0</v>
      </c>
      <c r="W92">
        <v>0</v>
      </c>
      <c r="X92" t="s">
        <v>58</v>
      </c>
    </row>
    <row r="93" customHeight="1" spans="1:24">
      <c r="A93" t="s">
        <v>156</v>
      </c>
      <c r="B93">
        <v>46</v>
      </c>
      <c r="C93">
        <v>71</v>
      </c>
      <c r="D93" t="s">
        <v>60</v>
      </c>
      <c r="E93" t="s">
        <v>69</v>
      </c>
      <c r="F93" t="s">
        <v>58</v>
      </c>
      <c r="G93">
        <v>454</v>
      </c>
      <c r="H93">
        <v>3.5</v>
      </c>
      <c r="I93">
        <v>149</v>
      </c>
      <c r="J93">
        <v>797.13</v>
      </c>
      <c r="K93">
        <v>0</v>
      </c>
      <c r="L93" t="s">
        <v>62</v>
      </c>
      <c r="M93">
        <v>0</v>
      </c>
      <c r="N93">
        <v>0</v>
      </c>
      <c r="O93">
        <v>23.7</v>
      </c>
      <c r="P93">
        <v>2</v>
      </c>
      <c r="Q93">
        <v>1</v>
      </c>
      <c r="R93">
        <v>0</v>
      </c>
      <c r="S93" t="s">
        <v>63</v>
      </c>
      <c r="T93">
        <v>0</v>
      </c>
      <c r="U93">
        <v>0</v>
      </c>
      <c r="V93">
        <v>1</v>
      </c>
      <c r="W93">
        <v>0</v>
      </c>
      <c r="X93" t="s">
        <v>58</v>
      </c>
    </row>
    <row r="94" customHeight="1" spans="1:24">
      <c r="A94" t="s">
        <v>157</v>
      </c>
      <c r="B94">
        <v>52</v>
      </c>
      <c r="C94">
        <v>71</v>
      </c>
      <c r="D94" t="s">
        <v>60</v>
      </c>
      <c r="E94" t="s">
        <v>76</v>
      </c>
      <c r="F94" t="s">
        <v>58</v>
      </c>
      <c r="G94">
        <v>227</v>
      </c>
      <c r="H94">
        <v>32.11</v>
      </c>
      <c r="I94">
        <v>152</v>
      </c>
      <c r="J94">
        <v>616.43</v>
      </c>
      <c r="K94">
        <v>2</v>
      </c>
      <c r="L94" t="s">
        <v>56</v>
      </c>
      <c r="M94">
        <v>0</v>
      </c>
      <c r="N94">
        <v>0</v>
      </c>
      <c r="O94">
        <v>23.7</v>
      </c>
      <c r="P94">
        <v>2</v>
      </c>
      <c r="Q94">
        <v>1</v>
      </c>
      <c r="R94">
        <v>2</v>
      </c>
      <c r="S94" t="s">
        <v>63</v>
      </c>
      <c r="T94">
        <v>0</v>
      </c>
      <c r="U94">
        <v>1</v>
      </c>
      <c r="V94">
        <v>0</v>
      </c>
      <c r="W94">
        <v>0</v>
      </c>
      <c r="X94" t="s">
        <v>58</v>
      </c>
    </row>
    <row r="95" customHeight="1" spans="1:24">
      <c r="A95" t="s">
        <v>158</v>
      </c>
      <c r="B95">
        <v>43</v>
      </c>
      <c r="C95">
        <v>54</v>
      </c>
      <c r="D95" t="s">
        <v>53</v>
      </c>
      <c r="E95" t="s">
        <v>69</v>
      </c>
      <c r="F95" t="s">
        <v>55</v>
      </c>
      <c r="G95">
        <v>266</v>
      </c>
      <c r="H95">
        <v>6.29</v>
      </c>
      <c r="I95">
        <v>338</v>
      </c>
      <c r="J95">
        <v>389.43</v>
      </c>
      <c r="K95">
        <v>0</v>
      </c>
      <c r="L95" t="s">
        <v>62</v>
      </c>
      <c r="M95">
        <v>0</v>
      </c>
      <c r="N95">
        <v>0</v>
      </c>
      <c r="O95">
        <v>7.1</v>
      </c>
      <c r="P95">
        <v>1</v>
      </c>
      <c r="Q95">
        <v>1</v>
      </c>
      <c r="R95">
        <v>1</v>
      </c>
      <c r="S95" t="s">
        <v>63</v>
      </c>
      <c r="T95">
        <v>0</v>
      </c>
      <c r="U95">
        <v>0</v>
      </c>
      <c r="V95">
        <v>0</v>
      </c>
      <c r="W95">
        <v>1</v>
      </c>
      <c r="X95" t="s">
        <v>55</v>
      </c>
    </row>
    <row r="96" customHeight="1" spans="1:24">
      <c r="A96" t="s">
        <v>159</v>
      </c>
      <c r="B96">
        <v>55</v>
      </c>
      <c r="C96">
        <v>4</v>
      </c>
      <c r="D96" t="s">
        <v>60</v>
      </c>
      <c r="E96" t="s">
        <v>54</v>
      </c>
      <c r="F96" t="s">
        <v>55</v>
      </c>
      <c r="G96">
        <v>69</v>
      </c>
      <c r="H96">
        <v>6.59</v>
      </c>
      <c r="I96">
        <v>143</v>
      </c>
      <c r="J96">
        <v>716.51</v>
      </c>
      <c r="K96">
        <v>0</v>
      </c>
      <c r="L96" t="s">
        <v>62</v>
      </c>
      <c r="M96">
        <v>0</v>
      </c>
      <c r="N96">
        <v>0</v>
      </c>
      <c r="O96">
        <v>17.9</v>
      </c>
      <c r="P96">
        <v>1</v>
      </c>
      <c r="Q96">
        <v>0</v>
      </c>
      <c r="R96">
        <v>0</v>
      </c>
      <c r="S96" t="s">
        <v>66</v>
      </c>
      <c r="T96">
        <v>0</v>
      </c>
      <c r="U96">
        <v>0</v>
      </c>
      <c r="V96">
        <v>0</v>
      </c>
      <c r="W96">
        <v>1</v>
      </c>
      <c r="X96" t="s">
        <v>58</v>
      </c>
    </row>
    <row r="97" customHeight="1" spans="1:24">
      <c r="A97" t="s">
        <v>160</v>
      </c>
      <c r="B97">
        <v>56</v>
      </c>
      <c r="C97">
        <v>27</v>
      </c>
      <c r="D97" t="s">
        <v>53</v>
      </c>
      <c r="E97" t="s">
        <v>61</v>
      </c>
      <c r="F97" t="s">
        <v>55</v>
      </c>
      <c r="G97">
        <v>485</v>
      </c>
      <c r="H97">
        <v>15.66</v>
      </c>
      <c r="I97">
        <v>29</v>
      </c>
      <c r="J97">
        <v>493.01</v>
      </c>
      <c r="K97">
        <v>1</v>
      </c>
      <c r="L97" t="s">
        <v>56</v>
      </c>
      <c r="M97">
        <v>0</v>
      </c>
      <c r="N97">
        <v>0</v>
      </c>
      <c r="O97">
        <v>23.7</v>
      </c>
      <c r="P97">
        <v>1</v>
      </c>
      <c r="Q97">
        <v>0</v>
      </c>
      <c r="R97">
        <v>0</v>
      </c>
      <c r="S97" t="s">
        <v>63</v>
      </c>
      <c r="T97">
        <v>0</v>
      </c>
      <c r="U97">
        <v>1</v>
      </c>
      <c r="V97">
        <v>0</v>
      </c>
      <c r="W97">
        <v>1</v>
      </c>
      <c r="X97" t="s">
        <v>55</v>
      </c>
    </row>
    <row r="98" customHeight="1" spans="1:24">
      <c r="A98" t="s">
        <v>161</v>
      </c>
      <c r="B98">
        <v>28</v>
      </c>
      <c r="C98">
        <v>33</v>
      </c>
      <c r="D98" t="s">
        <v>53</v>
      </c>
      <c r="E98" t="s">
        <v>61</v>
      </c>
      <c r="F98" t="s">
        <v>58</v>
      </c>
      <c r="G98">
        <v>218</v>
      </c>
      <c r="H98">
        <v>14.82</v>
      </c>
      <c r="I98">
        <v>106</v>
      </c>
      <c r="J98">
        <v>494.19</v>
      </c>
      <c r="K98">
        <v>1</v>
      </c>
      <c r="L98" t="s">
        <v>56</v>
      </c>
      <c r="M98">
        <v>0</v>
      </c>
      <c r="N98">
        <v>0</v>
      </c>
      <c r="O98">
        <v>30.9</v>
      </c>
      <c r="P98">
        <v>1</v>
      </c>
      <c r="Q98">
        <v>0</v>
      </c>
      <c r="R98">
        <v>0</v>
      </c>
      <c r="S98" t="s">
        <v>63</v>
      </c>
      <c r="T98">
        <v>0</v>
      </c>
      <c r="U98">
        <v>1</v>
      </c>
      <c r="V98">
        <v>0</v>
      </c>
      <c r="W98">
        <v>0</v>
      </c>
      <c r="X98" t="s">
        <v>58</v>
      </c>
    </row>
    <row r="99" customHeight="1" spans="1:24">
      <c r="A99" t="s">
        <v>162</v>
      </c>
      <c r="B99">
        <v>62</v>
      </c>
      <c r="C99">
        <v>70</v>
      </c>
      <c r="D99" t="s">
        <v>60</v>
      </c>
      <c r="E99" t="s">
        <v>61</v>
      </c>
      <c r="F99" t="s">
        <v>55</v>
      </c>
      <c r="G99">
        <v>420</v>
      </c>
      <c r="H99">
        <v>2.42</v>
      </c>
      <c r="I99">
        <v>52</v>
      </c>
      <c r="J99">
        <v>767.7</v>
      </c>
      <c r="K99">
        <v>0</v>
      </c>
      <c r="L99" t="s">
        <v>62</v>
      </c>
      <c r="M99">
        <v>0</v>
      </c>
      <c r="N99">
        <v>0</v>
      </c>
      <c r="O99">
        <v>31.9</v>
      </c>
      <c r="P99">
        <v>1</v>
      </c>
      <c r="Q99">
        <v>0</v>
      </c>
      <c r="R99">
        <v>0</v>
      </c>
      <c r="S99" t="s">
        <v>63</v>
      </c>
      <c r="T99">
        <v>0</v>
      </c>
      <c r="U99">
        <v>0</v>
      </c>
      <c r="V99">
        <v>1</v>
      </c>
      <c r="W99">
        <v>1</v>
      </c>
      <c r="X99" t="s">
        <v>55</v>
      </c>
    </row>
    <row r="100" customHeight="1" spans="1:24">
      <c r="A100" t="s">
        <v>163</v>
      </c>
      <c r="B100">
        <v>46</v>
      </c>
      <c r="C100">
        <v>40</v>
      </c>
      <c r="D100" t="s">
        <v>60</v>
      </c>
      <c r="E100" t="s">
        <v>54</v>
      </c>
      <c r="F100" t="s">
        <v>58</v>
      </c>
      <c r="G100">
        <v>456</v>
      </c>
      <c r="H100">
        <v>24.5</v>
      </c>
      <c r="I100">
        <v>92</v>
      </c>
      <c r="J100">
        <v>785.2</v>
      </c>
      <c r="K100">
        <v>1</v>
      </c>
      <c r="L100" t="s">
        <v>56</v>
      </c>
      <c r="M100">
        <v>1</v>
      </c>
      <c r="N100">
        <v>2</v>
      </c>
      <c r="O100">
        <v>8.5</v>
      </c>
      <c r="P100">
        <v>2</v>
      </c>
      <c r="Q100">
        <v>1</v>
      </c>
      <c r="R100">
        <v>0</v>
      </c>
      <c r="S100" t="s">
        <v>63</v>
      </c>
      <c r="T100">
        <v>1</v>
      </c>
      <c r="U100">
        <v>1</v>
      </c>
      <c r="V100">
        <v>0</v>
      </c>
      <c r="W100">
        <v>0</v>
      </c>
      <c r="X100" t="s">
        <v>58</v>
      </c>
    </row>
    <row r="101" customHeight="1" spans="1:24">
      <c r="A101" t="s">
        <v>164</v>
      </c>
      <c r="B101">
        <v>51</v>
      </c>
      <c r="C101">
        <v>39</v>
      </c>
      <c r="D101" t="s">
        <v>53</v>
      </c>
      <c r="E101" t="s">
        <v>61</v>
      </c>
      <c r="F101" t="s">
        <v>55</v>
      </c>
      <c r="G101">
        <v>490</v>
      </c>
      <c r="H101">
        <v>24.79</v>
      </c>
      <c r="I101">
        <v>92</v>
      </c>
      <c r="J101">
        <v>427.56</v>
      </c>
      <c r="K101">
        <v>2</v>
      </c>
      <c r="L101" t="s">
        <v>56</v>
      </c>
      <c r="M101">
        <v>0</v>
      </c>
      <c r="N101">
        <v>0</v>
      </c>
      <c r="O101">
        <v>20.4</v>
      </c>
      <c r="P101">
        <v>2</v>
      </c>
      <c r="Q101">
        <v>1</v>
      </c>
      <c r="R101">
        <v>2</v>
      </c>
      <c r="S101" t="s">
        <v>63</v>
      </c>
      <c r="T101">
        <v>0</v>
      </c>
      <c r="U101">
        <v>1</v>
      </c>
      <c r="V101">
        <v>0</v>
      </c>
      <c r="W101">
        <v>1</v>
      </c>
      <c r="X101" t="s">
        <v>55</v>
      </c>
    </row>
    <row r="102" customHeight="1" spans="1:24">
      <c r="A102" t="s">
        <v>165</v>
      </c>
      <c r="B102">
        <v>53</v>
      </c>
      <c r="C102">
        <v>11</v>
      </c>
      <c r="D102" t="s">
        <v>72</v>
      </c>
      <c r="E102" t="s">
        <v>69</v>
      </c>
      <c r="F102" t="s">
        <v>58</v>
      </c>
      <c r="G102">
        <v>219</v>
      </c>
      <c r="H102">
        <v>28.54</v>
      </c>
      <c r="I102">
        <v>79</v>
      </c>
      <c r="J102">
        <v>1004.98</v>
      </c>
      <c r="K102">
        <v>0</v>
      </c>
      <c r="L102" t="s">
        <v>62</v>
      </c>
      <c r="M102">
        <v>0</v>
      </c>
      <c r="N102">
        <v>0</v>
      </c>
      <c r="O102">
        <v>46.3</v>
      </c>
      <c r="P102">
        <v>1</v>
      </c>
      <c r="Q102">
        <v>1</v>
      </c>
      <c r="R102">
        <v>0</v>
      </c>
      <c r="S102" t="s">
        <v>57</v>
      </c>
      <c r="T102">
        <v>0</v>
      </c>
      <c r="U102">
        <v>0</v>
      </c>
      <c r="V102">
        <v>0</v>
      </c>
      <c r="W102">
        <v>0</v>
      </c>
      <c r="X102" t="s">
        <v>58</v>
      </c>
    </row>
    <row r="103" customHeight="1" spans="1:24">
      <c r="A103" t="s">
        <v>166</v>
      </c>
      <c r="B103">
        <v>61</v>
      </c>
      <c r="C103">
        <v>58</v>
      </c>
      <c r="D103" t="s">
        <v>72</v>
      </c>
      <c r="E103" t="s">
        <v>69</v>
      </c>
      <c r="F103" t="s">
        <v>55</v>
      </c>
      <c r="G103">
        <v>390</v>
      </c>
      <c r="H103">
        <v>13.67</v>
      </c>
      <c r="I103">
        <v>22</v>
      </c>
      <c r="J103">
        <v>1234.71</v>
      </c>
      <c r="K103">
        <v>1</v>
      </c>
      <c r="L103" t="s">
        <v>56</v>
      </c>
      <c r="M103">
        <v>4</v>
      </c>
      <c r="N103">
        <v>4</v>
      </c>
      <c r="O103">
        <v>12.2</v>
      </c>
      <c r="P103">
        <v>1</v>
      </c>
      <c r="Q103">
        <v>0</v>
      </c>
      <c r="R103">
        <v>1</v>
      </c>
      <c r="S103" t="s">
        <v>63</v>
      </c>
      <c r="T103">
        <v>1</v>
      </c>
      <c r="U103">
        <v>1</v>
      </c>
      <c r="V103">
        <v>0</v>
      </c>
      <c r="W103">
        <v>1</v>
      </c>
      <c r="X103" t="s">
        <v>55</v>
      </c>
    </row>
    <row r="104" customHeight="1" spans="1:24">
      <c r="A104" t="s">
        <v>167</v>
      </c>
      <c r="B104">
        <v>35</v>
      </c>
      <c r="C104">
        <v>25</v>
      </c>
      <c r="D104" t="s">
        <v>53</v>
      </c>
      <c r="E104" t="s">
        <v>65</v>
      </c>
      <c r="F104" t="s">
        <v>58</v>
      </c>
      <c r="G104">
        <v>651</v>
      </c>
      <c r="H104">
        <v>17.41</v>
      </c>
      <c r="I104">
        <v>231</v>
      </c>
      <c r="J104">
        <v>415.9</v>
      </c>
      <c r="K104">
        <v>0</v>
      </c>
      <c r="L104" t="s">
        <v>62</v>
      </c>
      <c r="M104">
        <v>1</v>
      </c>
      <c r="N104">
        <v>2</v>
      </c>
      <c r="O104">
        <v>29.1</v>
      </c>
      <c r="P104">
        <v>1</v>
      </c>
      <c r="Q104">
        <v>0</v>
      </c>
      <c r="R104">
        <v>1</v>
      </c>
      <c r="S104" t="s">
        <v>63</v>
      </c>
      <c r="T104">
        <v>1</v>
      </c>
      <c r="U104">
        <v>0</v>
      </c>
      <c r="V104">
        <v>1</v>
      </c>
      <c r="W104">
        <v>0</v>
      </c>
      <c r="X104" t="s">
        <v>58</v>
      </c>
    </row>
    <row r="105" customHeight="1" spans="1:24">
      <c r="A105" t="s">
        <v>168</v>
      </c>
      <c r="B105">
        <v>18</v>
      </c>
      <c r="C105">
        <v>7</v>
      </c>
      <c r="D105" t="s">
        <v>53</v>
      </c>
      <c r="E105" t="s">
        <v>65</v>
      </c>
      <c r="F105" t="s">
        <v>55</v>
      </c>
      <c r="G105">
        <v>657</v>
      </c>
      <c r="H105">
        <v>17.7</v>
      </c>
      <c r="I105">
        <v>141</v>
      </c>
      <c r="J105">
        <v>428.17</v>
      </c>
      <c r="K105">
        <v>0</v>
      </c>
      <c r="L105" t="s">
        <v>62</v>
      </c>
      <c r="M105">
        <v>1</v>
      </c>
      <c r="N105">
        <v>1</v>
      </c>
      <c r="O105">
        <v>25.3</v>
      </c>
      <c r="P105">
        <v>1</v>
      </c>
      <c r="Q105">
        <v>1</v>
      </c>
      <c r="R105">
        <v>0</v>
      </c>
      <c r="S105" t="s">
        <v>57</v>
      </c>
      <c r="T105">
        <v>1</v>
      </c>
      <c r="U105">
        <v>0</v>
      </c>
      <c r="V105">
        <v>0</v>
      </c>
      <c r="W105">
        <v>1</v>
      </c>
      <c r="X105" t="s">
        <v>58</v>
      </c>
    </row>
    <row r="106" customHeight="1" spans="1:24">
      <c r="A106" t="s">
        <v>169</v>
      </c>
      <c r="B106">
        <v>28</v>
      </c>
      <c r="C106">
        <v>72</v>
      </c>
      <c r="D106" t="s">
        <v>53</v>
      </c>
      <c r="E106" t="s">
        <v>54</v>
      </c>
      <c r="F106" t="s">
        <v>58</v>
      </c>
      <c r="G106">
        <v>548</v>
      </c>
      <c r="H106">
        <v>34.88</v>
      </c>
      <c r="I106">
        <v>104</v>
      </c>
      <c r="J106">
        <v>591.44</v>
      </c>
      <c r="K106">
        <v>0</v>
      </c>
      <c r="L106" t="s">
        <v>62</v>
      </c>
      <c r="M106">
        <v>0</v>
      </c>
      <c r="N106">
        <v>1</v>
      </c>
      <c r="O106">
        <v>37.1</v>
      </c>
      <c r="P106">
        <v>1</v>
      </c>
      <c r="Q106">
        <v>1</v>
      </c>
      <c r="R106">
        <v>1</v>
      </c>
      <c r="S106" t="s">
        <v>63</v>
      </c>
      <c r="T106">
        <v>0</v>
      </c>
      <c r="U106">
        <v>0</v>
      </c>
      <c r="V106">
        <v>0</v>
      </c>
      <c r="W106">
        <v>0</v>
      </c>
      <c r="X106" t="s">
        <v>58</v>
      </c>
    </row>
    <row r="107" customHeight="1" spans="1:24">
      <c r="A107" t="s">
        <v>170</v>
      </c>
      <c r="B107">
        <v>74</v>
      </c>
      <c r="C107">
        <v>14</v>
      </c>
      <c r="D107" t="s">
        <v>72</v>
      </c>
      <c r="E107" t="s">
        <v>61</v>
      </c>
      <c r="F107" t="s">
        <v>55</v>
      </c>
      <c r="G107">
        <v>451</v>
      </c>
      <c r="H107">
        <v>0.5</v>
      </c>
      <c r="I107">
        <v>173</v>
      </c>
      <c r="J107">
        <v>1170.5</v>
      </c>
      <c r="K107">
        <v>0</v>
      </c>
      <c r="L107" t="s">
        <v>62</v>
      </c>
      <c r="M107">
        <v>3</v>
      </c>
      <c r="N107">
        <v>4</v>
      </c>
      <c r="O107">
        <v>27.5</v>
      </c>
      <c r="P107">
        <v>0</v>
      </c>
      <c r="Q107">
        <v>2</v>
      </c>
      <c r="R107">
        <v>0</v>
      </c>
      <c r="S107" t="s">
        <v>57</v>
      </c>
      <c r="T107">
        <v>1</v>
      </c>
      <c r="U107">
        <v>0</v>
      </c>
      <c r="V107">
        <v>1</v>
      </c>
      <c r="W107">
        <v>1</v>
      </c>
      <c r="X107" t="s">
        <v>55</v>
      </c>
    </row>
    <row r="108" customHeight="1" spans="1:24">
      <c r="A108" t="s">
        <v>171</v>
      </c>
      <c r="B108">
        <v>30</v>
      </c>
      <c r="C108">
        <v>2</v>
      </c>
      <c r="D108" t="s">
        <v>72</v>
      </c>
      <c r="E108" t="s">
        <v>65</v>
      </c>
      <c r="F108" t="s">
        <v>55</v>
      </c>
      <c r="G108">
        <v>249</v>
      </c>
      <c r="H108">
        <v>8.43</v>
      </c>
      <c r="I108">
        <v>153</v>
      </c>
      <c r="J108">
        <v>1027.14</v>
      </c>
      <c r="K108">
        <v>0</v>
      </c>
      <c r="L108" t="s">
        <v>62</v>
      </c>
      <c r="M108">
        <v>0</v>
      </c>
      <c r="N108">
        <v>0</v>
      </c>
      <c r="O108">
        <v>18.8</v>
      </c>
      <c r="P108">
        <v>0</v>
      </c>
      <c r="Q108">
        <v>1</v>
      </c>
      <c r="R108">
        <v>0</v>
      </c>
      <c r="S108" t="s">
        <v>66</v>
      </c>
      <c r="T108">
        <v>0</v>
      </c>
      <c r="U108">
        <v>0</v>
      </c>
      <c r="V108">
        <v>0</v>
      </c>
      <c r="W108">
        <v>1</v>
      </c>
      <c r="X108" t="s">
        <v>55</v>
      </c>
    </row>
    <row r="109" customHeight="1" spans="1:24">
      <c r="A109" t="s">
        <v>172</v>
      </c>
      <c r="B109">
        <v>32</v>
      </c>
      <c r="C109">
        <v>6</v>
      </c>
      <c r="D109" t="s">
        <v>53</v>
      </c>
      <c r="E109" t="s">
        <v>54</v>
      </c>
      <c r="F109" t="s">
        <v>58</v>
      </c>
      <c r="G109">
        <v>508</v>
      </c>
      <c r="H109">
        <v>18.06</v>
      </c>
      <c r="I109">
        <v>139</v>
      </c>
      <c r="J109">
        <v>332.46</v>
      </c>
      <c r="K109">
        <v>0</v>
      </c>
      <c r="L109" t="s">
        <v>62</v>
      </c>
      <c r="M109">
        <v>0</v>
      </c>
      <c r="N109">
        <v>0</v>
      </c>
      <c r="O109">
        <v>24.8</v>
      </c>
      <c r="P109">
        <v>1</v>
      </c>
      <c r="Q109">
        <v>1</v>
      </c>
      <c r="R109">
        <v>2</v>
      </c>
      <c r="S109" t="s">
        <v>66</v>
      </c>
      <c r="T109">
        <v>0</v>
      </c>
      <c r="U109">
        <v>0</v>
      </c>
      <c r="V109">
        <v>0</v>
      </c>
      <c r="W109">
        <v>0</v>
      </c>
      <c r="X109" t="s">
        <v>58</v>
      </c>
    </row>
    <row r="110" customHeight="1" spans="1:24">
      <c r="A110" t="s">
        <v>173</v>
      </c>
      <c r="B110">
        <v>67</v>
      </c>
      <c r="C110">
        <v>33</v>
      </c>
      <c r="D110" t="s">
        <v>72</v>
      </c>
      <c r="E110" t="s">
        <v>54</v>
      </c>
      <c r="F110" t="s">
        <v>58</v>
      </c>
      <c r="G110">
        <v>376</v>
      </c>
      <c r="H110">
        <v>7.14</v>
      </c>
      <c r="I110">
        <v>168</v>
      </c>
      <c r="J110">
        <v>1048.37</v>
      </c>
      <c r="K110">
        <v>0</v>
      </c>
      <c r="L110" t="s">
        <v>62</v>
      </c>
      <c r="M110">
        <v>0</v>
      </c>
      <c r="N110">
        <v>0</v>
      </c>
      <c r="O110">
        <v>25</v>
      </c>
      <c r="P110">
        <v>1</v>
      </c>
      <c r="Q110">
        <v>1</v>
      </c>
      <c r="R110">
        <v>0</v>
      </c>
      <c r="S110" t="s">
        <v>63</v>
      </c>
      <c r="T110">
        <v>0</v>
      </c>
      <c r="U110">
        <v>0</v>
      </c>
      <c r="V110">
        <v>0</v>
      </c>
      <c r="W110">
        <v>0</v>
      </c>
      <c r="X110" t="s">
        <v>58</v>
      </c>
    </row>
    <row r="111" customHeight="1" spans="1:24">
      <c r="A111" t="s">
        <v>174</v>
      </c>
      <c r="B111">
        <v>31</v>
      </c>
      <c r="C111">
        <v>8</v>
      </c>
      <c r="D111" t="s">
        <v>53</v>
      </c>
      <c r="E111" t="s">
        <v>61</v>
      </c>
      <c r="F111" t="s">
        <v>58</v>
      </c>
      <c r="G111">
        <v>484</v>
      </c>
      <c r="H111">
        <v>15.42</v>
      </c>
      <c r="I111">
        <v>129</v>
      </c>
      <c r="J111">
        <v>419.65</v>
      </c>
      <c r="K111">
        <v>0</v>
      </c>
      <c r="L111" t="s">
        <v>62</v>
      </c>
      <c r="M111">
        <v>0</v>
      </c>
      <c r="N111">
        <v>2</v>
      </c>
      <c r="O111">
        <v>22.9</v>
      </c>
      <c r="P111">
        <v>2</v>
      </c>
      <c r="Q111">
        <v>0</v>
      </c>
      <c r="R111">
        <v>0</v>
      </c>
      <c r="S111" t="s">
        <v>57</v>
      </c>
      <c r="T111">
        <v>0</v>
      </c>
      <c r="U111">
        <v>0</v>
      </c>
      <c r="V111">
        <v>0</v>
      </c>
      <c r="W111">
        <v>0</v>
      </c>
      <c r="X111" t="s">
        <v>58</v>
      </c>
    </row>
    <row r="112" customHeight="1" spans="1:24">
      <c r="A112" t="s">
        <v>175</v>
      </c>
      <c r="B112">
        <v>44</v>
      </c>
      <c r="C112">
        <v>61</v>
      </c>
      <c r="D112" t="s">
        <v>60</v>
      </c>
      <c r="E112" t="s">
        <v>61</v>
      </c>
      <c r="F112" t="s">
        <v>58</v>
      </c>
      <c r="G112">
        <v>305</v>
      </c>
      <c r="H112">
        <v>16.74</v>
      </c>
      <c r="I112">
        <v>167</v>
      </c>
      <c r="J112">
        <v>579.59</v>
      </c>
      <c r="K112">
        <v>0</v>
      </c>
      <c r="L112" t="s">
        <v>62</v>
      </c>
      <c r="M112">
        <v>0</v>
      </c>
      <c r="N112">
        <v>1</v>
      </c>
      <c r="O112">
        <v>8.2</v>
      </c>
      <c r="P112">
        <v>0</v>
      </c>
      <c r="Q112">
        <v>1</v>
      </c>
      <c r="R112">
        <v>0</v>
      </c>
      <c r="S112" t="s">
        <v>63</v>
      </c>
      <c r="T112">
        <v>0</v>
      </c>
      <c r="U112">
        <v>0</v>
      </c>
      <c r="V112">
        <v>0</v>
      </c>
      <c r="W112">
        <v>0</v>
      </c>
      <c r="X112" t="s">
        <v>58</v>
      </c>
    </row>
    <row r="113" customHeight="1" spans="1:24">
      <c r="A113" t="s">
        <v>176</v>
      </c>
      <c r="B113">
        <v>39</v>
      </c>
      <c r="C113">
        <v>37</v>
      </c>
      <c r="D113" t="s">
        <v>72</v>
      </c>
      <c r="E113" t="s">
        <v>69</v>
      </c>
      <c r="F113" t="s">
        <v>58</v>
      </c>
      <c r="G113">
        <v>374</v>
      </c>
      <c r="H113">
        <v>11.42</v>
      </c>
      <c r="I113">
        <v>173</v>
      </c>
      <c r="J113">
        <v>1417.16</v>
      </c>
      <c r="K113">
        <v>1</v>
      </c>
      <c r="L113" t="s">
        <v>56</v>
      </c>
      <c r="M113">
        <v>1</v>
      </c>
      <c r="N113">
        <v>2</v>
      </c>
      <c r="O113">
        <v>38.9</v>
      </c>
      <c r="P113">
        <v>0</v>
      </c>
      <c r="Q113">
        <v>0</v>
      </c>
      <c r="R113">
        <v>0</v>
      </c>
      <c r="S113" t="s">
        <v>63</v>
      </c>
      <c r="T113">
        <v>1</v>
      </c>
      <c r="U113">
        <v>1</v>
      </c>
      <c r="V113">
        <v>0</v>
      </c>
      <c r="W113">
        <v>0</v>
      </c>
      <c r="X113" t="s">
        <v>58</v>
      </c>
    </row>
    <row r="114" customHeight="1" spans="1:24">
      <c r="A114" t="s">
        <v>177</v>
      </c>
      <c r="B114">
        <v>56</v>
      </c>
      <c r="C114">
        <v>24</v>
      </c>
      <c r="D114" t="s">
        <v>53</v>
      </c>
      <c r="E114" t="s">
        <v>65</v>
      </c>
      <c r="F114" t="s">
        <v>58</v>
      </c>
      <c r="G114">
        <v>425</v>
      </c>
      <c r="H114">
        <v>18.64</v>
      </c>
      <c r="I114">
        <v>131</v>
      </c>
      <c r="J114">
        <v>423.4</v>
      </c>
      <c r="K114">
        <v>0</v>
      </c>
      <c r="L114" t="s">
        <v>62</v>
      </c>
      <c r="M114">
        <v>2</v>
      </c>
      <c r="N114">
        <v>2</v>
      </c>
      <c r="O114">
        <v>36.8</v>
      </c>
      <c r="P114">
        <v>0</v>
      </c>
      <c r="Q114">
        <v>0</v>
      </c>
      <c r="R114">
        <v>0</v>
      </c>
      <c r="S114" t="s">
        <v>57</v>
      </c>
      <c r="T114">
        <v>1</v>
      </c>
      <c r="U114">
        <v>0</v>
      </c>
      <c r="V114">
        <v>0</v>
      </c>
      <c r="W114">
        <v>0</v>
      </c>
      <c r="X114" t="s">
        <v>58</v>
      </c>
    </row>
    <row r="115" customHeight="1" spans="1:24">
      <c r="A115" t="s">
        <v>178</v>
      </c>
      <c r="B115">
        <v>52</v>
      </c>
      <c r="C115">
        <v>1</v>
      </c>
      <c r="D115" t="s">
        <v>53</v>
      </c>
      <c r="E115" t="s">
        <v>76</v>
      </c>
      <c r="F115" t="s">
        <v>55</v>
      </c>
      <c r="G115">
        <v>437</v>
      </c>
      <c r="H115">
        <v>24.28</v>
      </c>
      <c r="I115">
        <v>105</v>
      </c>
      <c r="J115">
        <v>303.06</v>
      </c>
      <c r="K115">
        <v>2</v>
      </c>
      <c r="L115" t="s">
        <v>56</v>
      </c>
      <c r="M115">
        <v>0</v>
      </c>
      <c r="N115">
        <v>0</v>
      </c>
      <c r="O115">
        <v>23.7</v>
      </c>
      <c r="P115">
        <v>1</v>
      </c>
      <c r="Q115">
        <v>1</v>
      </c>
      <c r="R115">
        <v>0</v>
      </c>
      <c r="S115" t="s">
        <v>66</v>
      </c>
      <c r="T115">
        <v>0</v>
      </c>
      <c r="U115">
        <v>1</v>
      </c>
      <c r="V115">
        <v>0</v>
      </c>
      <c r="W115">
        <v>1</v>
      </c>
      <c r="X115" t="s">
        <v>55</v>
      </c>
    </row>
    <row r="116" customHeight="1" spans="1:24">
      <c r="A116" t="s">
        <v>179</v>
      </c>
      <c r="B116">
        <v>47</v>
      </c>
      <c r="C116">
        <v>35</v>
      </c>
      <c r="D116" t="s">
        <v>60</v>
      </c>
      <c r="E116" t="s">
        <v>61</v>
      </c>
      <c r="F116" t="s">
        <v>55</v>
      </c>
      <c r="G116">
        <v>474</v>
      </c>
      <c r="H116">
        <v>15.64</v>
      </c>
      <c r="I116">
        <v>227</v>
      </c>
      <c r="J116">
        <v>790.98</v>
      </c>
      <c r="K116">
        <v>2</v>
      </c>
      <c r="L116" t="s">
        <v>56</v>
      </c>
      <c r="M116">
        <v>0</v>
      </c>
      <c r="N116">
        <v>1</v>
      </c>
      <c r="O116">
        <v>20.4</v>
      </c>
      <c r="P116">
        <v>0</v>
      </c>
      <c r="Q116">
        <v>0</v>
      </c>
      <c r="R116">
        <v>0</v>
      </c>
      <c r="S116" t="s">
        <v>63</v>
      </c>
      <c r="T116">
        <v>0</v>
      </c>
      <c r="U116">
        <v>1</v>
      </c>
      <c r="V116">
        <v>0</v>
      </c>
      <c r="W116">
        <v>1</v>
      </c>
      <c r="X116" t="s">
        <v>55</v>
      </c>
    </row>
    <row r="117" customHeight="1" spans="1:24">
      <c r="A117" t="s">
        <v>180</v>
      </c>
      <c r="B117">
        <v>47</v>
      </c>
      <c r="C117">
        <v>11</v>
      </c>
      <c r="D117" t="s">
        <v>60</v>
      </c>
      <c r="E117" t="s">
        <v>61</v>
      </c>
      <c r="F117" t="s">
        <v>55</v>
      </c>
      <c r="G117">
        <v>313</v>
      </c>
      <c r="H117">
        <v>13.47</v>
      </c>
      <c r="I117">
        <v>87</v>
      </c>
      <c r="J117">
        <v>808.12</v>
      </c>
      <c r="K117">
        <v>2</v>
      </c>
      <c r="L117" t="s">
        <v>56</v>
      </c>
      <c r="M117">
        <v>0</v>
      </c>
      <c r="N117">
        <v>1</v>
      </c>
      <c r="O117">
        <v>21.3</v>
      </c>
      <c r="P117">
        <v>1</v>
      </c>
      <c r="Q117">
        <v>2</v>
      </c>
      <c r="R117">
        <v>0</v>
      </c>
      <c r="S117" t="s">
        <v>57</v>
      </c>
      <c r="T117">
        <v>0</v>
      </c>
      <c r="U117">
        <v>1</v>
      </c>
      <c r="V117">
        <v>0</v>
      </c>
      <c r="W117">
        <v>1</v>
      </c>
      <c r="X117" t="s">
        <v>55</v>
      </c>
    </row>
    <row r="118" customHeight="1" spans="1:24">
      <c r="A118" t="s">
        <v>181</v>
      </c>
      <c r="B118">
        <v>66</v>
      </c>
      <c r="C118">
        <v>71</v>
      </c>
      <c r="D118" t="s">
        <v>72</v>
      </c>
      <c r="E118" t="s">
        <v>76</v>
      </c>
      <c r="F118" t="s">
        <v>55</v>
      </c>
      <c r="G118">
        <v>199</v>
      </c>
      <c r="H118">
        <v>16.34</v>
      </c>
      <c r="I118">
        <v>147</v>
      </c>
      <c r="J118">
        <v>961.45</v>
      </c>
      <c r="K118">
        <v>2</v>
      </c>
      <c r="L118" t="s">
        <v>56</v>
      </c>
      <c r="M118">
        <v>1</v>
      </c>
      <c r="N118">
        <v>1</v>
      </c>
      <c r="O118">
        <v>10.1</v>
      </c>
      <c r="P118">
        <v>1</v>
      </c>
      <c r="Q118">
        <v>0</v>
      </c>
      <c r="R118">
        <v>0</v>
      </c>
      <c r="S118" t="s">
        <v>63</v>
      </c>
      <c r="T118">
        <v>1</v>
      </c>
      <c r="U118">
        <v>1</v>
      </c>
      <c r="V118">
        <v>0</v>
      </c>
      <c r="W118">
        <v>1</v>
      </c>
      <c r="X118" t="s">
        <v>55</v>
      </c>
    </row>
    <row r="119" customHeight="1" spans="1:24">
      <c r="A119" t="s">
        <v>182</v>
      </c>
      <c r="B119">
        <v>51</v>
      </c>
      <c r="C119">
        <v>21</v>
      </c>
      <c r="D119" t="s">
        <v>72</v>
      </c>
      <c r="E119" t="s">
        <v>69</v>
      </c>
      <c r="F119" t="s">
        <v>55</v>
      </c>
      <c r="G119">
        <v>644</v>
      </c>
      <c r="H119">
        <v>17.93</v>
      </c>
      <c r="I119">
        <v>149</v>
      </c>
      <c r="J119">
        <v>1246.62</v>
      </c>
      <c r="K119">
        <v>1</v>
      </c>
      <c r="L119" t="s">
        <v>56</v>
      </c>
      <c r="M119">
        <v>0</v>
      </c>
      <c r="N119">
        <v>0</v>
      </c>
      <c r="O119">
        <v>1.6</v>
      </c>
      <c r="P119">
        <v>0</v>
      </c>
      <c r="Q119">
        <v>0</v>
      </c>
      <c r="R119">
        <v>0</v>
      </c>
      <c r="S119" t="s">
        <v>57</v>
      </c>
      <c r="T119">
        <v>0</v>
      </c>
      <c r="U119">
        <v>1</v>
      </c>
      <c r="V119">
        <v>0</v>
      </c>
      <c r="W119">
        <v>1</v>
      </c>
      <c r="X119" t="s">
        <v>55</v>
      </c>
    </row>
    <row r="120" customHeight="1" spans="1:24">
      <c r="A120" t="s">
        <v>183</v>
      </c>
      <c r="B120">
        <v>47</v>
      </c>
      <c r="C120">
        <v>35</v>
      </c>
      <c r="D120" t="s">
        <v>53</v>
      </c>
      <c r="E120" t="s">
        <v>65</v>
      </c>
      <c r="F120" t="s">
        <v>55</v>
      </c>
      <c r="G120">
        <v>773</v>
      </c>
      <c r="H120">
        <v>0.6</v>
      </c>
      <c r="I120">
        <v>77</v>
      </c>
      <c r="J120">
        <v>453.22</v>
      </c>
      <c r="K120">
        <v>0</v>
      </c>
      <c r="L120" t="s">
        <v>62</v>
      </c>
      <c r="M120">
        <v>3</v>
      </c>
      <c r="N120">
        <v>3</v>
      </c>
      <c r="O120">
        <v>16</v>
      </c>
      <c r="P120">
        <v>0</v>
      </c>
      <c r="Q120">
        <v>1</v>
      </c>
      <c r="R120">
        <v>0</v>
      </c>
      <c r="S120" t="s">
        <v>63</v>
      </c>
      <c r="T120">
        <v>1</v>
      </c>
      <c r="U120">
        <v>0</v>
      </c>
      <c r="V120">
        <v>1</v>
      </c>
      <c r="W120">
        <v>1</v>
      </c>
      <c r="X120" t="s">
        <v>55</v>
      </c>
    </row>
    <row r="121" customHeight="1" spans="1:24">
      <c r="A121" t="s">
        <v>184</v>
      </c>
      <c r="B121">
        <v>69</v>
      </c>
      <c r="C121">
        <v>2</v>
      </c>
      <c r="D121" t="s">
        <v>53</v>
      </c>
      <c r="E121" t="s">
        <v>54</v>
      </c>
      <c r="F121" t="s">
        <v>58</v>
      </c>
      <c r="G121">
        <v>467</v>
      </c>
      <c r="H121">
        <v>22.62</v>
      </c>
      <c r="I121">
        <v>63</v>
      </c>
      <c r="J121">
        <v>542.97</v>
      </c>
      <c r="K121">
        <v>1</v>
      </c>
      <c r="L121" t="s">
        <v>56</v>
      </c>
      <c r="M121">
        <v>1</v>
      </c>
      <c r="N121">
        <v>1</v>
      </c>
      <c r="O121">
        <v>19.7</v>
      </c>
      <c r="P121">
        <v>3</v>
      </c>
      <c r="Q121">
        <v>0</v>
      </c>
      <c r="R121">
        <v>0</v>
      </c>
      <c r="S121" t="s">
        <v>66</v>
      </c>
      <c r="T121">
        <v>1</v>
      </c>
      <c r="U121">
        <v>1</v>
      </c>
      <c r="V121">
        <v>0</v>
      </c>
      <c r="W121">
        <v>0</v>
      </c>
      <c r="X121" t="s">
        <v>58</v>
      </c>
    </row>
    <row r="122" customHeight="1" spans="1:24">
      <c r="A122" t="s">
        <v>185</v>
      </c>
      <c r="B122">
        <v>23</v>
      </c>
      <c r="C122">
        <v>10</v>
      </c>
      <c r="D122" t="s">
        <v>72</v>
      </c>
      <c r="E122" t="s">
        <v>54</v>
      </c>
      <c r="F122" t="s">
        <v>55</v>
      </c>
      <c r="G122">
        <v>201</v>
      </c>
      <c r="H122">
        <v>13.49</v>
      </c>
      <c r="I122">
        <v>95</v>
      </c>
      <c r="J122">
        <v>1115.88</v>
      </c>
      <c r="K122">
        <v>2</v>
      </c>
      <c r="L122" t="s">
        <v>56</v>
      </c>
      <c r="M122">
        <v>0</v>
      </c>
      <c r="N122">
        <v>1</v>
      </c>
      <c r="O122">
        <v>6.7</v>
      </c>
      <c r="P122">
        <v>3</v>
      </c>
      <c r="Q122">
        <v>0</v>
      </c>
      <c r="R122">
        <v>0</v>
      </c>
      <c r="S122" t="s">
        <v>57</v>
      </c>
      <c r="T122">
        <v>0</v>
      </c>
      <c r="U122">
        <v>1</v>
      </c>
      <c r="V122">
        <v>0</v>
      </c>
      <c r="W122">
        <v>1</v>
      </c>
      <c r="X122" t="s">
        <v>55</v>
      </c>
    </row>
    <row r="123" customHeight="1" spans="1:24">
      <c r="A123" t="s">
        <v>186</v>
      </c>
      <c r="B123">
        <v>66</v>
      </c>
      <c r="C123">
        <v>15</v>
      </c>
      <c r="D123" t="s">
        <v>53</v>
      </c>
      <c r="E123" t="s">
        <v>61</v>
      </c>
      <c r="F123" t="s">
        <v>55</v>
      </c>
      <c r="G123">
        <v>284</v>
      </c>
      <c r="H123">
        <v>30.62</v>
      </c>
      <c r="I123">
        <v>86</v>
      </c>
      <c r="J123">
        <v>529.35</v>
      </c>
      <c r="K123">
        <v>1</v>
      </c>
      <c r="L123" t="s">
        <v>56</v>
      </c>
      <c r="M123">
        <v>2</v>
      </c>
      <c r="N123">
        <v>2</v>
      </c>
      <c r="O123">
        <v>26.1</v>
      </c>
      <c r="P123">
        <v>4</v>
      </c>
      <c r="Q123">
        <v>1</v>
      </c>
      <c r="R123">
        <v>0</v>
      </c>
      <c r="S123" t="s">
        <v>57</v>
      </c>
      <c r="T123">
        <v>1</v>
      </c>
      <c r="U123">
        <v>1</v>
      </c>
      <c r="V123">
        <v>0</v>
      </c>
      <c r="W123">
        <v>1</v>
      </c>
      <c r="X123" t="s">
        <v>55</v>
      </c>
    </row>
    <row r="124" customHeight="1" spans="1:24">
      <c r="A124" t="s">
        <v>187</v>
      </c>
      <c r="B124">
        <v>29</v>
      </c>
      <c r="C124">
        <v>4</v>
      </c>
      <c r="D124" t="s">
        <v>72</v>
      </c>
      <c r="E124" t="s">
        <v>76</v>
      </c>
      <c r="F124" t="s">
        <v>58</v>
      </c>
      <c r="G124">
        <v>476</v>
      </c>
      <c r="H124">
        <v>23.91</v>
      </c>
      <c r="I124">
        <v>18</v>
      </c>
      <c r="J124">
        <v>1167.72</v>
      </c>
      <c r="K124">
        <v>1</v>
      </c>
      <c r="L124" t="s">
        <v>56</v>
      </c>
      <c r="M124">
        <v>0</v>
      </c>
      <c r="N124">
        <v>0</v>
      </c>
      <c r="O124">
        <v>38</v>
      </c>
      <c r="P124">
        <v>1</v>
      </c>
      <c r="Q124">
        <v>1</v>
      </c>
      <c r="R124">
        <v>0</v>
      </c>
      <c r="S124" t="s">
        <v>66</v>
      </c>
      <c r="T124">
        <v>0</v>
      </c>
      <c r="U124">
        <v>1</v>
      </c>
      <c r="V124">
        <v>0</v>
      </c>
      <c r="W124">
        <v>0</v>
      </c>
      <c r="X124" t="s">
        <v>58</v>
      </c>
    </row>
    <row r="125" customHeight="1" spans="1:24">
      <c r="A125" t="s">
        <v>188</v>
      </c>
      <c r="B125">
        <v>37</v>
      </c>
      <c r="C125">
        <v>53</v>
      </c>
      <c r="D125" t="s">
        <v>60</v>
      </c>
      <c r="E125" t="s">
        <v>76</v>
      </c>
      <c r="F125" t="s">
        <v>58</v>
      </c>
      <c r="G125">
        <v>601</v>
      </c>
      <c r="H125">
        <v>29.7</v>
      </c>
      <c r="I125">
        <v>74</v>
      </c>
      <c r="J125">
        <v>821.73</v>
      </c>
      <c r="K125">
        <v>0</v>
      </c>
      <c r="L125" t="s">
        <v>62</v>
      </c>
      <c r="M125">
        <v>0</v>
      </c>
      <c r="N125">
        <v>0</v>
      </c>
      <c r="O125">
        <v>34.1</v>
      </c>
      <c r="P125">
        <v>0</v>
      </c>
      <c r="Q125">
        <v>1</v>
      </c>
      <c r="R125">
        <v>0</v>
      </c>
      <c r="S125" t="s">
        <v>63</v>
      </c>
      <c r="T125">
        <v>0</v>
      </c>
      <c r="U125">
        <v>0</v>
      </c>
      <c r="V125">
        <v>0</v>
      </c>
      <c r="W125">
        <v>0</v>
      </c>
      <c r="X125" t="s">
        <v>58</v>
      </c>
    </row>
    <row r="126" customHeight="1" spans="1:24">
      <c r="A126" t="s">
        <v>189</v>
      </c>
      <c r="B126">
        <v>18</v>
      </c>
      <c r="C126">
        <v>69</v>
      </c>
      <c r="D126" t="s">
        <v>53</v>
      </c>
      <c r="E126" t="s">
        <v>54</v>
      </c>
      <c r="F126" t="s">
        <v>58</v>
      </c>
      <c r="G126">
        <v>218</v>
      </c>
      <c r="H126">
        <v>7.89</v>
      </c>
      <c r="I126">
        <v>139</v>
      </c>
      <c r="J126">
        <v>480.77</v>
      </c>
      <c r="K126">
        <v>0</v>
      </c>
      <c r="L126" t="s">
        <v>62</v>
      </c>
      <c r="M126">
        <v>2</v>
      </c>
      <c r="N126">
        <v>2</v>
      </c>
      <c r="O126">
        <v>22.5</v>
      </c>
      <c r="P126">
        <v>1</v>
      </c>
      <c r="Q126">
        <v>0</v>
      </c>
      <c r="R126">
        <v>0</v>
      </c>
      <c r="S126" t="s">
        <v>63</v>
      </c>
      <c r="T126">
        <v>1</v>
      </c>
      <c r="U126">
        <v>0</v>
      </c>
      <c r="V126">
        <v>0</v>
      </c>
      <c r="W126">
        <v>0</v>
      </c>
      <c r="X126" t="s">
        <v>58</v>
      </c>
    </row>
    <row r="127" customHeight="1" spans="1:24">
      <c r="A127" t="s">
        <v>190</v>
      </c>
      <c r="B127">
        <v>51</v>
      </c>
      <c r="C127">
        <v>71</v>
      </c>
      <c r="D127" t="s">
        <v>72</v>
      </c>
      <c r="E127" t="s">
        <v>69</v>
      </c>
      <c r="F127" t="s">
        <v>58</v>
      </c>
      <c r="G127">
        <v>381</v>
      </c>
      <c r="H127">
        <v>14.29</v>
      </c>
      <c r="I127">
        <v>209</v>
      </c>
      <c r="J127">
        <v>1246.32</v>
      </c>
      <c r="K127">
        <v>0</v>
      </c>
      <c r="L127" t="s">
        <v>62</v>
      </c>
      <c r="M127">
        <v>0</v>
      </c>
      <c r="N127">
        <v>0</v>
      </c>
      <c r="O127">
        <v>1.9</v>
      </c>
      <c r="P127">
        <v>1</v>
      </c>
      <c r="Q127">
        <v>0</v>
      </c>
      <c r="R127">
        <v>0</v>
      </c>
      <c r="S127" t="s">
        <v>63</v>
      </c>
      <c r="T127">
        <v>0</v>
      </c>
      <c r="U127">
        <v>0</v>
      </c>
      <c r="V127">
        <v>0</v>
      </c>
      <c r="W127">
        <v>0</v>
      </c>
      <c r="X127" t="s">
        <v>58</v>
      </c>
    </row>
    <row r="128" customHeight="1" spans="1:24">
      <c r="A128" t="s">
        <v>191</v>
      </c>
      <c r="B128">
        <v>66</v>
      </c>
      <c r="C128">
        <v>20</v>
      </c>
      <c r="D128" t="s">
        <v>53</v>
      </c>
      <c r="E128" t="s">
        <v>61</v>
      </c>
      <c r="F128" t="s">
        <v>58</v>
      </c>
      <c r="G128">
        <v>429</v>
      </c>
      <c r="H128">
        <v>5.58</v>
      </c>
      <c r="I128">
        <v>159</v>
      </c>
      <c r="J128">
        <v>482.86</v>
      </c>
      <c r="K128">
        <v>0</v>
      </c>
      <c r="L128" t="s">
        <v>62</v>
      </c>
      <c r="M128">
        <v>1</v>
      </c>
      <c r="N128">
        <v>1</v>
      </c>
      <c r="O128">
        <v>32.6</v>
      </c>
      <c r="P128">
        <v>0</v>
      </c>
      <c r="Q128">
        <v>0</v>
      </c>
      <c r="R128">
        <v>0</v>
      </c>
      <c r="S128" t="s">
        <v>57</v>
      </c>
      <c r="T128">
        <v>1</v>
      </c>
      <c r="U128">
        <v>0</v>
      </c>
      <c r="V128">
        <v>0</v>
      </c>
      <c r="W128">
        <v>0</v>
      </c>
      <c r="X128" t="s">
        <v>58</v>
      </c>
    </row>
    <row r="129" customHeight="1" spans="1:24">
      <c r="A129" t="s">
        <v>192</v>
      </c>
      <c r="B129">
        <v>40</v>
      </c>
      <c r="C129">
        <v>57</v>
      </c>
      <c r="D129" t="s">
        <v>60</v>
      </c>
      <c r="E129" t="s">
        <v>69</v>
      </c>
      <c r="F129" t="s">
        <v>58</v>
      </c>
      <c r="G129">
        <v>530</v>
      </c>
      <c r="H129">
        <v>10.95</v>
      </c>
      <c r="I129">
        <v>0</v>
      </c>
      <c r="J129">
        <v>822.57</v>
      </c>
      <c r="K129">
        <v>0</v>
      </c>
      <c r="L129" t="s">
        <v>62</v>
      </c>
      <c r="M129">
        <v>0</v>
      </c>
      <c r="N129">
        <v>1</v>
      </c>
      <c r="O129">
        <v>25.8</v>
      </c>
      <c r="P129">
        <v>0</v>
      </c>
      <c r="Q129">
        <v>1</v>
      </c>
      <c r="R129">
        <v>0</v>
      </c>
      <c r="S129" t="s">
        <v>63</v>
      </c>
      <c r="T129">
        <v>0</v>
      </c>
      <c r="U129">
        <v>0</v>
      </c>
      <c r="V129">
        <v>0</v>
      </c>
      <c r="W129">
        <v>0</v>
      </c>
      <c r="X129" t="s">
        <v>58</v>
      </c>
    </row>
    <row r="130" customHeight="1" spans="1:24">
      <c r="A130" t="s">
        <v>193</v>
      </c>
      <c r="B130">
        <v>56</v>
      </c>
      <c r="C130">
        <v>37</v>
      </c>
      <c r="D130" t="s">
        <v>60</v>
      </c>
      <c r="E130" t="s">
        <v>76</v>
      </c>
      <c r="F130" t="s">
        <v>58</v>
      </c>
      <c r="G130">
        <v>348</v>
      </c>
      <c r="H130">
        <v>30.52</v>
      </c>
      <c r="I130">
        <v>165</v>
      </c>
      <c r="J130">
        <v>828.5</v>
      </c>
      <c r="K130">
        <v>1</v>
      </c>
      <c r="L130" t="s">
        <v>56</v>
      </c>
      <c r="M130">
        <v>2</v>
      </c>
      <c r="N130">
        <v>3</v>
      </c>
      <c r="O130">
        <v>29.1</v>
      </c>
      <c r="P130">
        <v>1</v>
      </c>
      <c r="Q130">
        <v>1</v>
      </c>
      <c r="R130">
        <v>0</v>
      </c>
      <c r="S130" t="s">
        <v>63</v>
      </c>
      <c r="T130">
        <v>1</v>
      </c>
      <c r="U130">
        <v>1</v>
      </c>
      <c r="V130">
        <v>0</v>
      </c>
      <c r="W130">
        <v>0</v>
      </c>
      <c r="X130" t="s">
        <v>58</v>
      </c>
    </row>
    <row r="131" customHeight="1" spans="1:24">
      <c r="A131" t="s">
        <v>194</v>
      </c>
      <c r="B131">
        <v>40</v>
      </c>
      <c r="C131">
        <v>4</v>
      </c>
      <c r="D131" t="s">
        <v>60</v>
      </c>
      <c r="E131" t="s">
        <v>61</v>
      </c>
      <c r="F131" t="s">
        <v>58</v>
      </c>
      <c r="G131">
        <v>165</v>
      </c>
      <c r="H131">
        <v>32.87</v>
      </c>
      <c r="I131">
        <v>81</v>
      </c>
      <c r="J131">
        <v>786.33</v>
      </c>
      <c r="K131">
        <v>0</v>
      </c>
      <c r="L131" t="s">
        <v>62</v>
      </c>
      <c r="M131">
        <v>1</v>
      </c>
      <c r="N131">
        <v>1</v>
      </c>
      <c r="O131">
        <v>47.2</v>
      </c>
      <c r="P131">
        <v>1</v>
      </c>
      <c r="Q131">
        <v>1</v>
      </c>
      <c r="R131">
        <v>0</v>
      </c>
      <c r="S131" t="s">
        <v>66</v>
      </c>
      <c r="T131">
        <v>1</v>
      </c>
      <c r="U131">
        <v>0</v>
      </c>
      <c r="V131">
        <v>0</v>
      </c>
      <c r="W131">
        <v>0</v>
      </c>
      <c r="X131" t="s">
        <v>58</v>
      </c>
    </row>
    <row r="132" customHeight="1" spans="1:24">
      <c r="A132" t="s">
        <v>195</v>
      </c>
      <c r="B132">
        <v>62</v>
      </c>
      <c r="C132">
        <v>7</v>
      </c>
      <c r="D132" t="s">
        <v>60</v>
      </c>
      <c r="E132" t="s">
        <v>69</v>
      </c>
      <c r="F132" t="s">
        <v>55</v>
      </c>
      <c r="G132">
        <v>493</v>
      </c>
      <c r="H132">
        <v>6.52</v>
      </c>
      <c r="I132">
        <v>152</v>
      </c>
      <c r="J132">
        <v>742.76</v>
      </c>
      <c r="K132">
        <v>1</v>
      </c>
      <c r="L132" t="s">
        <v>56</v>
      </c>
      <c r="M132">
        <v>1</v>
      </c>
      <c r="N132">
        <v>1</v>
      </c>
      <c r="O132">
        <v>14.1</v>
      </c>
      <c r="P132">
        <v>3</v>
      </c>
      <c r="Q132">
        <v>0</v>
      </c>
      <c r="R132">
        <v>0</v>
      </c>
      <c r="S132" t="s">
        <v>57</v>
      </c>
      <c r="T132">
        <v>1</v>
      </c>
      <c r="U132">
        <v>1</v>
      </c>
      <c r="V132">
        <v>0</v>
      </c>
      <c r="W132">
        <v>1</v>
      </c>
      <c r="X132" t="s">
        <v>55</v>
      </c>
    </row>
    <row r="133" customHeight="1" spans="1:24">
      <c r="A133" t="s">
        <v>196</v>
      </c>
      <c r="B133">
        <v>75</v>
      </c>
      <c r="C133">
        <v>40</v>
      </c>
      <c r="D133" t="s">
        <v>60</v>
      </c>
      <c r="E133" t="s">
        <v>69</v>
      </c>
      <c r="F133" t="s">
        <v>58</v>
      </c>
      <c r="G133">
        <v>569</v>
      </c>
      <c r="H133">
        <v>13.42</v>
      </c>
      <c r="I133">
        <v>119</v>
      </c>
      <c r="J133">
        <v>689.16</v>
      </c>
      <c r="K133">
        <v>0</v>
      </c>
      <c r="L133" t="s">
        <v>62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1</v>
      </c>
      <c r="S133" t="s">
        <v>63</v>
      </c>
      <c r="T133">
        <v>1</v>
      </c>
      <c r="U133">
        <v>0</v>
      </c>
      <c r="V133">
        <v>0</v>
      </c>
      <c r="W133">
        <v>0</v>
      </c>
      <c r="X133" t="s">
        <v>58</v>
      </c>
    </row>
    <row r="134" customHeight="1" spans="1:24">
      <c r="A134" t="s">
        <v>197</v>
      </c>
      <c r="B134">
        <v>59</v>
      </c>
      <c r="C134">
        <v>31</v>
      </c>
      <c r="D134" t="s">
        <v>72</v>
      </c>
      <c r="E134" t="s">
        <v>76</v>
      </c>
      <c r="F134" t="s">
        <v>58</v>
      </c>
      <c r="G134">
        <v>388</v>
      </c>
      <c r="H134">
        <v>17.24</v>
      </c>
      <c r="I134">
        <v>107</v>
      </c>
      <c r="J134">
        <v>1204.39</v>
      </c>
      <c r="K134">
        <v>0</v>
      </c>
      <c r="L134" t="s">
        <v>62</v>
      </c>
      <c r="M134">
        <v>0</v>
      </c>
      <c r="N134">
        <v>0</v>
      </c>
      <c r="O134">
        <v>11.4</v>
      </c>
      <c r="P134">
        <v>2</v>
      </c>
      <c r="Q134">
        <v>1</v>
      </c>
      <c r="R134">
        <v>1</v>
      </c>
      <c r="S134" t="s">
        <v>63</v>
      </c>
      <c r="T134">
        <v>0</v>
      </c>
      <c r="U134">
        <v>0</v>
      </c>
      <c r="V134">
        <v>0</v>
      </c>
      <c r="W134">
        <v>0</v>
      </c>
      <c r="X134" t="s">
        <v>58</v>
      </c>
    </row>
    <row r="135" customHeight="1" spans="1:24">
      <c r="A135" t="s">
        <v>198</v>
      </c>
      <c r="B135">
        <v>37</v>
      </c>
      <c r="C135">
        <v>1</v>
      </c>
      <c r="D135" t="s">
        <v>72</v>
      </c>
      <c r="E135" t="s">
        <v>69</v>
      </c>
      <c r="F135" t="s">
        <v>58</v>
      </c>
      <c r="G135">
        <v>461</v>
      </c>
      <c r="H135">
        <v>23.86</v>
      </c>
      <c r="I135">
        <v>113</v>
      </c>
      <c r="J135">
        <v>1015.3</v>
      </c>
      <c r="K135">
        <v>0</v>
      </c>
      <c r="L135" t="s">
        <v>62</v>
      </c>
      <c r="M135">
        <v>1</v>
      </c>
      <c r="N135">
        <v>2</v>
      </c>
      <c r="O135">
        <v>29.8</v>
      </c>
      <c r="P135">
        <v>2</v>
      </c>
      <c r="Q135">
        <v>1</v>
      </c>
      <c r="R135">
        <v>2</v>
      </c>
      <c r="S135" t="s">
        <v>66</v>
      </c>
      <c r="T135">
        <v>1</v>
      </c>
      <c r="U135">
        <v>0</v>
      </c>
      <c r="V135">
        <v>0</v>
      </c>
      <c r="W135">
        <v>0</v>
      </c>
      <c r="X135" t="s">
        <v>55</v>
      </c>
    </row>
    <row r="136" customHeight="1" spans="1:24">
      <c r="A136" t="s">
        <v>199</v>
      </c>
      <c r="B136">
        <v>65</v>
      </c>
      <c r="C136">
        <v>67</v>
      </c>
      <c r="D136" t="s">
        <v>60</v>
      </c>
      <c r="E136" t="s">
        <v>65</v>
      </c>
      <c r="F136" t="s">
        <v>58</v>
      </c>
      <c r="G136">
        <v>329</v>
      </c>
      <c r="H136">
        <v>0.5</v>
      </c>
      <c r="I136">
        <v>118</v>
      </c>
      <c r="J136">
        <v>768.61</v>
      </c>
      <c r="K136">
        <v>1</v>
      </c>
      <c r="L136" t="s">
        <v>56</v>
      </c>
      <c r="M136">
        <v>0</v>
      </c>
      <c r="N136">
        <v>0</v>
      </c>
      <c r="O136">
        <v>24.3</v>
      </c>
      <c r="P136">
        <v>1</v>
      </c>
      <c r="Q136">
        <v>0</v>
      </c>
      <c r="R136">
        <v>0</v>
      </c>
      <c r="S136" t="s">
        <v>63</v>
      </c>
      <c r="T136">
        <v>0</v>
      </c>
      <c r="U136">
        <v>1</v>
      </c>
      <c r="V136">
        <v>1</v>
      </c>
      <c r="W136">
        <v>0</v>
      </c>
      <c r="X136" t="s">
        <v>58</v>
      </c>
    </row>
    <row r="137" customHeight="1" spans="1:24">
      <c r="A137" t="s">
        <v>200</v>
      </c>
      <c r="B137">
        <v>20</v>
      </c>
      <c r="C137">
        <v>53</v>
      </c>
      <c r="D137" t="s">
        <v>53</v>
      </c>
      <c r="E137" t="s">
        <v>76</v>
      </c>
      <c r="F137" t="s">
        <v>58</v>
      </c>
      <c r="G137">
        <v>273</v>
      </c>
      <c r="H137">
        <v>1.97</v>
      </c>
      <c r="I137">
        <v>214</v>
      </c>
      <c r="J137">
        <v>538.64</v>
      </c>
      <c r="K137">
        <v>1</v>
      </c>
      <c r="L137" t="s">
        <v>56</v>
      </c>
      <c r="M137">
        <v>0</v>
      </c>
      <c r="N137">
        <v>0</v>
      </c>
      <c r="O137">
        <v>9.4</v>
      </c>
      <c r="P137">
        <v>0</v>
      </c>
      <c r="Q137">
        <v>0</v>
      </c>
      <c r="R137">
        <v>0</v>
      </c>
      <c r="S137" t="s">
        <v>63</v>
      </c>
      <c r="T137">
        <v>0</v>
      </c>
      <c r="U137">
        <v>1</v>
      </c>
      <c r="V137">
        <v>1</v>
      </c>
      <c r="W137">
        <v>0</v>
      </c>
      <c r="X137" t="s">
        <v>58</v>
      </c>
    </row>
    <row r="138" customHeight="1" spans="1:24">
      <c r="A138" t="s">
        <v>201</v>
      </c>
      <c r="B138">
        <v>75</v>
      </c>
      <c r="C138">
        <v>37</v>
      </c>
      <c r="D138" t="s">
        <v>60</v>
      </c>
      <c r="E138" t="s">
        <v>61</v>
      </c>
      <c r="F138" t="s">
        <v>55</v>
      </c>
      <c r="G138">
        <v>554</v>
      </c>
      <c r="H138">
        <v>22.9</v>
      </c>
      <c r="I138">
        <v>119</v>
      </c>
      <c r="J138">
        <v>616.25</v>
      </c>
      <c r="K138">
        <v>2</v>
      </c>
      <c r="L138" t="s">
        <v>56</v>
      </c>
      <c r="M138">
        <v>0</v>
      </c>
      <c r="N138">
        <v>0</v>
      </c>
      <c r="O138">
        <v>23.7</v>
      </c>
      <c r="P138">
        <v>3</v>
      </c>
      <c r="Q138">
        <v>0</v>
      </c>
      <c r="R138">
        <v>0</v>
      </c>
      <c r="S138" t="s">
        <v>63</v>
      </c>
      <c r="T138">
        <v>0</v>
      </c>
      <c r="U138">
        <v>1</v>
      </c>
      <c r="V138">
        <v>0</v>
      </c>
      <c r="W138">
        <v>1</v>
      </c>
      <c r="X138" t="s">
        <v>58</v>
      </c>
    </row>
    <row r="139" customHeight="1" spans="1:24">
      <c r="A139" t="s">
        <v>202</v>
      </c>
      <c r="B139">
        <v>66</v>
      </c>
      <c r="C139">
        <v>72</v>
      </c>
      <c r="D139" t="s">
        <v>72</v>
      </c>
      <c r="E139" t="s">
        <v>76</v>
      </c>
      <c r="F139" t="s">
        <v>58</v>
      </c>
      <c r="G139">
        <v>458</v>
      </c>
      <c r="H139">
        <v>0.5</v>
      </c>
      <c r="I139">
        <v>196</v>
      </c>
      <c r="J139">
        <v>1097.04</v>
      </c>
      <c r="K139">
        <v>0</v>
      </c>
      <c r="L139" t="s">
        <v>62</v>
      </c>
      <c r="M139">
        <v>1</v>
      </c>
      <c r="N139">
        <v>2</v>
      </c>
      <c r="O139">
        <v>19.7</v>
      </c>
      <c r="P139">
        <v>2</v>
      </c>
      <c r="Q139">
        <v>0</v>
      </c>
      <c r="R139">
        <v>0</v>
      </c>
      <c r="S139" t="s">
        <v>63</v>
      </c>
      <c r="T139">
        <v>1</v>
      </c>
      <c r="U139">
        <v>0</v>
      </c>
      <c r="V139">
        <v>1</v>
      </c>
      <c r="W139">
        <v>0</v>
      </c>
      <c r="X139" t="s">
        <v>58</v>
      </c>
    </row>
    <row r="140" customHeight="1" spans="1:24">
      <c r="A140" t="s">
        <v>203</v>
      </c>
      <c r="B140">
        <v>55</v>
      </c>
      <c r="C140">
        <v>70</v>
      </c>
      <c r="D140" t="s">
        <v>53</v>
      </c>
      <c r="E140" t="s">
        <v>69</v>
      </c>
      <c r="F140" t="s">
        <v>58</v>
      </c>
      <c r="G140">
        <v>474</v>
      </c>
      <c r="H140">
        <v>13.53</v>
      </c>
      <c r="I140">
        <v>186</v>
      </c>
      <c r="J140">
        <v>517.76</v>
      </c>
      <c r="K140">
        <v>0</v>
      </c>
      <c r="L140" t="s">
        <v>62</v>
      </c>
      <c r="M140">
        <v>1</v>
      </c>
      <c r="N140">
        <v>2</v>
      </c>
      <c r="O140">
        <v>9</v>
      </c>
      <c r="P140">
        <v>0</v>
      </c>
      <c r="Q140">
        <v>2</v>
      </c>
      <c r="R140">
        <v>1</v>
      </c>
      <c r="S140" t="s">
        <v>63</v>
      </c>
      <c r="T140">
        <v>1</v>
      </c>
      <c r="U140">
        <v>0</v>
      </c>
      <c r="V140">
        <v>0</v>
      </c>
      <c r="W140">
        <v>0</v>
      </c>
      <c r="X140" t="s">
        <v>58</v>
      </c>
    </row>
    <row r="141" customHeight="1" spans="1:24">
      <c r="A141" t="s">
        <v>204</v>
      </c>
      <c r="B141">
        <v>54</v>
      </c>
      <c r="C141">
        <v>71</v>
      </c>
      <c r="D141" t="s">
        <v>60</v>
      </c>
      <c r="E141" t="s">
        <v>65</v>
      </c>
      <c r="F141" t="s">
        <v>58</v>
      </c>
      <c r="G141">
        <v>625</v>
      </c>
      <c r="H141">
        <v>19.62</v>
      </c>
      <c r="I141">
        <v>167</v>
      </c>
      <c r="J141">
        <v>757.85</v>
      </c>
      <c r="K141">
        <v>0</v>
      </c>
      <c r="L141" t="s">
        <v>62</v>
      </c>
      <c r="M141">
        <v>0</v>
      </c>
      <c r="N141">
        <v>0</v>
      </c>
      <c r="O141">
        <v>30.2</v>
      </c>
      <c r="P141">
        <v>1</v>
      </c>
      <c r="Q141">
        <v>1</v>
      </c>
      <c r="R141">
        <v>2</v>
      </c>
      <c r="S141" t="s">
        <v>63</v>
      </c>
      <c r="T141">
        <v>0</v>
      </c>
      <c r="U141">
        <v>0</v>
      </c>
      <c r="V141">
        <v>0</v>
      </c>
      <c r="W141">
        <v>0</v>
      </c>
      <c r="X141" t="s">
        <v>58</v>
      </c>
    </row>
    <row r="142" customHeight="1" spans="1:24">
      <c r="A142" t="s">
        <v>205</v>
      </c>
      <c r="B142">
        <v>32</v>
      </c>
      <c r="C142">
        <v>19</v>
      </c>
      <c r="D142" t="s">
        <v>60</v>
      </c>
      <c r="E142" t="s">
        <v>76</v>
      </c>
      <c r="F142" t="s">
        <v>58</v>
      </c>
      <c r="G142">
        <v>242</v>
      </c>
      <c r="H142">
        <v>17.41</v>
      </c>
      <c r="I142">
        <v>0</v>
      </c>
      <c r="J142">
        <v>743.83</v>
      </c>
      <c r="K142">
        <v>0</v>
      </c>
      <c r="L142" t="s">
        <v>62</v>
      </c>
      <c r="M142">
        <v>1</v>
      </c>
      <c r="N142">
        <v>1</v>
      </c>
      <c r="O142">
        <v>19.1</v>
      </c>
      <c r="P142">
        <v>1</v>
      </c>
      <c r="Q142">
        <v>2</v>
      </c>
      <c r="R142">
        <v>1</v>
      </c>
      <c r="S142" t="s">
        <v>57</v>
      </c>
      <c r="T142">
        <v>1</v>
      </c>
      <c r="U142">
        <v>0</v>
      </c>
      <c r="V142">
        <v>1</v>
      </c>
      <c r="W142">
        <v>0</v>
      </c>
      <c r="X142" t="s">
        <v>58</v>
      </c>
    </row>
    <row r="143" customHeight="1" spans="1:24">
      <c r="A143" t="s">
        <v>206</v>
      </c>
      <c r="B143">
        <v>43</v>
      </c>
      <c r="C143">
        <v>64</v>
      </c>
      <c r="D143" t="s">
        <v>53</v>
      </c>
      <c r="E143" t="s">
        <v>54</v>
      </c>
      <c r="F143" t="s">
        <v>58</v>
      </c>
      <c r="G143">
        <v>317</v>
      </c>
      <c r="H143">
        <v>16.58</v>
      </c>
      <c r="I143">
        <v>198</v>
      </c>
      <c r="J143">
        <v>482.22</v>
      </c>
      <c r="K143">
        <v>0</v>
      </c>
      <c r="L143" t="s">
        <v>62</v>
      </c>
      <c r="M143">
        <v>0</v>
      </c>
      <c r="N143">
        <v>1</v>
      </c>
      <c r="O143">
        <v>16.5</v>
      </c>
      <c r="P143">
        <v>0</v>
      </c>
      <c r="Q143">
        <v>1</v>
      </c>
      <c r="R143">
        <v>1</v>
      </c>
      <c r="S143" t="s">
        <v>63</v>
      </c>
      <c r="T143">
        <v>0</v>
      </c>
      <c r="U143">
        <v>0</v>
      </c>
      <c r="V143">
        <v>0</v>
      </c>
      <c r="W143">
        <v>0</v>
      </c>
      <c r="X143" t="s">
        <v>58</v>
      </c>
    </row>
    <row r="144" customHeight="1" spans="1:24">
      <c r="A144" t="s">
        <v>207</v>
      </c>
      <c r="B144">
        <v>23</v>
      </c>
      <c r="C144">
        <v>37</v>
      </c>
      <c r="D144" t="s">
        <v>60</v>
      </c>
      <c r="E144" t="s">
        <v>69</v>
      </c>
      <c r="F144" t="s">
        <v>58</v>
      </c>
      <c r="G144">
        <v>424</v>
      </c>
      <c r="H144">
        <v>14.34</v>
      </c>
      <c r="I144">
        <v>88</v>
      </c>
      <c r="J144">
        <v>953.23</v>
      </c>
      <c r="K144">
        <v>2</v>
      </c>
      <c r="L144" t="s">
        <v>56</v>
      </c>
      <c r="M144">
        <v>1</v>
      </c>
      <c r="N144">
        <v>2</v>
      </c>
      <c r="O144">
        <v>14.9</v>
      </c>
      <c r="P144">
        <v>2</v>
      </c>
      <c r="Q144">
        <v>0</v>
      </c>
      <c r="R144">
        <v>0</v>
      </c>
      <c r="S144" t="s">
        <v>63</v>
      </c>
      <c r="T144">
        <v>1</v>
      </c>
      <c r="U144">
        <v>1</v>
      </c>
      <c r="V144">
        <v>0</v>
      </c>
      <c r="W144">
        <v>0</v>
      </c>
      <c r="X144" t="s">
        <v>58</v>
      </c>
    </row>
    <row r="145" customHeight="1" spans="1:24">
      <c r="A145" t="s">
        <v>208</v>
      </c>
      <c r="B145">
        <v>37</v>
      </c>
      <c r="C145">
        <v>53</v>
      </c>
      <c r="D145" t="s">
        <v>60</v>
      </c>
      <c r="E145" t="s">
        <v>76</v>
      </c>
      <c r="F145" t="s">
        <v>58</v>
      </c>
      <c r="G145">
        <v>315</v>
      </c>
      <c r="H145">
        <v>26.45</v>
      </c>
      <c r="I145">
        <v>170</v>
      </c>
      <c r="J145">
        <v>647.64</v>
      </c>
      <c r="K145">
        <v>0</v>
      </c>
      <c r="L145" t="s">
        <v>62</v>
      </c>
      <c r="M145">
        <v>0</v>
      </c>
      <c r="N145">
        <v>1</v>
      </c>
      <c r="O145">
        <v>27.2</v>
      </c>
      <c r="P145">
        <v>2</v>
      </c>
      <c r="Q145">
        <v>0</v>
      </c>
      <c r="R145">
        <v>0</v>
      </c>
      <c r="S145" t="s">
        <v>63</v>
      </c>
      <c r="T145">
        <v>0</v>
      </c>
      <c r="U145">
        <v>0</v>
      </c>
      <c r="V145">
        <v>0</v>
      </c>
      <c r="W145">
        <v>0</v>
      </c>
      <c r="X145" t="s">
        <v>58</v>
      </c>
    </row>
    <row r="146" customHeight="1" spans="1:24">
      <c r="A146" t="s">
        <v>209</v>
      </c>
      <c r="B146">
        <v>52</v>
      </c>
      <c r="C146">
        <v>62</v>
      </c>
      <c r="D146" t="s">
        <v>72</v>
      </c>
      <c r="E146" t="s">
        <v>76</v>
      </c>
      <c r="F146" t="s">
        <v>55</v>
      </c>
      <c r="G146">
        <v>517</v>
      </c>
      <c r="H146">
        <v>20.85</v>
      </c>
      <c r="I146">
        <v>52</v>
      </c>
      <c r="J146">
        <v>1375.24</v>
      </c>
      <c r="K146">
        <v>0</v>
      </c>
      <c r="L146" t="s">
        <v>62</v>
      </c>
      <c r="M146">
        <v>0</v>
      </c>
      <c r="N146">
        <v>1</v>
      </c>
      <c r="O146">
        <v>24.5</v>
      </c>
      <c r="P146">
        <v>1</v>
      </c>
      <c r="Q146">
        <v>1</v>
      </c>
      <c r="R146">
        <v>0</v>
      </c>
      <c r="S146" t="s">
        <v>63</v>
      </c>
      <c r="T146">
        <v>0</v>
      </c>
      <c r="U146">
        <v>0</v>
      </c>
      <c r="V146">
        <v>0</v>
      </c>
      <c r="W146">
        <v>1</v>
      </c>
      <c r="X146" t="s">
        <v>55</v>
      </c>
    </row>
    <row r="147" customHeight="1" spans="1:24">
      <c r="A147" t="s">
        <v>210</v>
      </c>
      <c r="B147">
        <v>39</v>
      </c>
      <c r="C147">
        <v>12</v>
      </c>
      <c r="D147" t="s">
        <v>72</v>
      </c>
      <c r="E147" t="s">
        <v>117</v>
      </c>
      <c r="F147" t="s">
        <v>58</v>
      </c>
      <c r="G147">
        <v>372</v>
      </c>
      <c r="H147">
        <v>11.53</v>
      </c>
      <c r="I147">
        <v>37</v>
      </c>
      <c r="J147">
        <v>894</v>
      </c>
      <c r="K147">
        <v>0</v>
      </c>
      <c r="L147" t="s">
        <v>62</v>
      </c>
      <c r="M147">
        <v>0</v>
      </c>
      <c r="N147">
        <v>0</v>
      </c>
      <c r="O147">
        <v>26.4</v>
      </c>
      <c r="P147">
        <v>0</v>
      </c>
      <c r="Q147">
        <v>0</v>
      </c>
      <c r="R147">
        <v>1</v>
      </c>
      <c r="S147" t="s">
        <v>57</v>
      </c>
      <c r="T147">
        <v>0</v>
      </c>
      <c r="U147">
        <v>0</v>
      </c>
      <c r="V147">
        <v>0</v>
      </c>
      <c r="W147">
        <v>0</v>
      </c>
      <c r="X147" t="s">
        <v>58</v>
      </c>
    </row>
    <row r="148" customHeight="1" spans="1:24">
      <c r="A148" t="s">
        <v>211</v>
      </c>
      <c r="B148">
        <v>62</v>
      </c>
      <c r="C148">
        <v>33</v>
      </c>
      <c r="D148" t="s">
        <v>72</v>
      </c>
      <c r="E148" t="s">
        <v>76</v>
      </c>
      <c r="F148" t="s">
        <v>55</v>
      </c>
      <c r="G148">
        <v>251</v>
      </c>
      <c r="H148">
        <v>18.38</v>
      </c>
      <c r="I148">
        <v>258</v>
      </c>
      <c r="J148">
        <v>1081.24</v>
      </c>
      <c r="K148">
        <v>1</v>
      </c>
      <c r="L148" t="s">
        <v>56</v>
      </c>
      <c r="M148">
        <v>0</v>
      </c>
      <c r="N148">
        <v>1</v>
      </c>
      <c r="O148">
        <v>26.2</v>
      </c>
      <c r="P148">
        <v>0</v>
      </c>
      <c r="Q148">
        <v>0</v>
      </c>
      <c r="R148">
        <v>0</v>
      </c>
      <c r="S148" t="s">
        <v>63</v>
      </c>
      <c r="T148">
        <v>0</v>
      </c>
      <c r="U148">
        <v>1</v>
      </c>
      <c r="V148">
        <v>0</v>
      </c>
      <c r="W148">
        <v>1</v>
      </c>
      <c r="X148" t="s">
        <v>58</v>
      </c>
    </row>
    <row r="149" customHeight="1" spans="1:24">
      <c r="A149" t="s">
        <v>212</v>
      </c>
      <c r="B149">
        <v>67</v>
      </c>
      <c r="C149">
        <v>10</v>
      </c>
      <c r="D149" t="s">
        <v>60</v>
      </c>
      <c r="E149" t="s">
        <v>76</v>
      </c>
      <c r="F149" t="s">
        <v>58</v>
      </c>
      <c r="G149">
        <v>410</v>
      </c>
      <c r="H149">
        <v>21.83</v>
      </c>
      <c r="I149">
        <v>53</v>
      </c>
      <c r="J149">
        <v>745.04</v>
      </c>
      <c r="K149">
        <v>0</v>
      </c>
      <c r="L149" t="s">
        <v>62</v>
      </c>
      <c r="M149">
        <v>1</v>
      </c>
      <c r="N149">
        <v>1</v>
      </c>
      <c r="O149">
        <v>23.1</v>
      </c>
      <c r="P149">
        <v>1</v>
      </c>
      <c r="Q149">
        <v>1</v>
      </c>
      <c r="R149">
        <v>0</v>
      </c>
      <c r="S149" t="s">
        <v>57</v>
      </c>
      <c r="T149">
        <v>1</v>
      </c>
      <c r="U149">
        <v>0</v>
      </c>
      <c r="V149">
        <v>0</v>
      </c>
      <c r="W149">
        <v>0</v>
      </c>
      <c r="X149" t="s">
        <v>58</v>
      </c>
    </row>
    <row r="150" customHeight="1" spans="1:24">
      <c r="A150" t="s">
        <v>213</v>
      </c>
      <c r="B150">
        <v>50</v>
      </c>
      <c r="C150">
        <v>21</v>
      </c>
      <c r="D150" t="s">
        <v>53</v>
      </c>
      <c r="E150" t="s">
        <v>61</v>
      </c>
      <c r="F150" t="s">
        <v>58</v>
      </c>
      <c r="G150">
        <v>426</v>
      </c>
      <c r="H150">
        <v>35.18</v>
      </c>
      <c r="I150">
        <v>200</v>
      </c>
      <c r="J150">
        <v>601.11</v>
      </c>
      <c r="K150">
        <v>0</v>
      </c>
      <c r="L150" t="s">
        <v>62</v>
      </c>
      <c r="M150">
        <v>1</v>
      </c>
      <c r="N150">
        <v>1</v>
      </c>
      <c r="O150">
        <v>11.6</v>
      </c>
      <c r="P150">
        <v>0</v>
      </c>
      <c r="Q150">
        <v>0</v>
      </c>
      <c r="R150">
        <v>0</v>
      </c>
      <c r="S150" t="s">
        <v>57</v>
      </c>
      <c r="T150">
        <v>1</v>
      </c>
      <c r="U150">
        <v>0</v>
      </c>
      <c r="V150">
        <v>0</v>
      </c>
      <c r="W150">
        <v>0</v>
      </c>
      <c r="X150" t="s">
        <v>58</v>
      </c>
    </row>
    <row r="151" customHeight="1" spans="1:24">
      <c r="A151" t="s">
        <v>214</v>
      </c>
      <c r="B151">
        <v>37</v>
      </c>
      <c r="C151">
        <v>30</v>
      </c>
      <c r="D151" t="s">
        <v>60</v>
      </c>
      <c r="E151" t="s">
        <v>61</v>
      </c>
      <c r="F151" t="s">
        <v>58</v>
      </c>
      <c r="G151">
        <v>540</v>
      </c>
      <c r="H151">
        <v>17.41</v>
      </c>
      <c r="I151">
        <v>128</v>
      </c>
      <c r="J151">
        <v>930.1</v>
      </c>
      <c r="K151">
        <v>0</v>
      </c>
      <c r="L151" t="s">
        <v>62</v>
      </c>
      <c r="M151">
        <v>0</v>
      </c>
      <c r="N151">
        <v>0</v>
      </c>
      <c r="O151">
        <v>15.2</v>
      </c>
      <c r="P151">
        <v>0</v>
      </c>
      <c r="Q151">
        <v>0</v>
      </c>
      <c r="R151">
        <v>0</v>
      </c>
      <c r="S151" t="s">
        <v>63</v>
      </c>
      <c r="T151">
        <v>0</v>
      </c>
      <c r="U151">
        <v>0</v>
      </c>
      <c r="V151">
        <v>1</v>
      </c>
      <c r="W151">
        <v>0</v>
      </c>
      <c r="X151" t="s">
        <v>58</v>
      </c>
    </row>
    <row r="152" customHeight="1" spans="1:24">
      <c r="A152" t="s">
        <v>215</v>
      </c>
      <c r="B152">
        <v>35</v>
      </c>
      <c r="C152">
        <v>62</v>
      </c>
      <c r="D152" t="s">
        <v>72</v>
      </c>
      <c r="E152" t="s">
        <v>76</v>
      </c>
      <c r="F152" t="s">
        <v>58</v>
      </c>
      <c r="G152">
        <v>459</v>
      </c>
      <c r="H152">
        <v>30.15</v>
      </c>
      <c r="I152">
        <v>91</v>
      </c>
      <c r="J152">
        <v>1106.09</v>
      </c>
      <c r="K152">
        <v>0</v>
      </c>
      <c r="L152" t="s">
        <v>62</v>
      </c>
      <c r="M152">
        <v>0</v>
      </c>
      <c r="N152">
        <v>0</v>
      </c>
      <c r="O152">
        <v>23.7</v>
      </c>
      <c r="P152">
        <v>1</v>
      </c>
      <c r="Q152">
        <v>0</v>
      </c>
      <c r="R152">
        <v>1</v>
      </c>
      <c r="S152" t="s">
        <v>63</v>
      </c>
      <c r="T152">
        <v>0</v>
      </c>
      <c r="U152">
        <v>0</v>
      </c>
      <c r="V152">
        <v>0</v>
      </c>
      <c r="W152">
        <v>0</v>
      </c>
      <c r="X152" t="s">
        <v>58</v>
      </c>
    </row>
    <row r="153" customHeight="1" spans="1:24">
      <c r="A153" t="s">
        <v>216</v>
      </c>
      <c r="B153">
        <v>49</v>
      </c>
      <c r="C153">
        <v>63</v>
      </c>
      <c r="D153" t="s">
        <v>60</v>
      </c>
      <c r="E153" t="s">
        <v>61</v>
      </c>
      <c r="F153" t="s">
        <v>58</v>
      </c>
      <c r="G153">
        <v>469</v>
      </c>
      <c r="H153">
        <v>11.89</v>
      </c>
      <c r="I153">
        <v>117</v>
      </c>
      <c r="J153">
        <v>712.34</v>
      </c>
      <c r="K153">
        <v>0</v>
      </c>
      <c r="L153" t="s">
        <v>62</v>
      </c>
      <c r="M153">
        <v>3</v>
      </c>
      <c r="N153">
        <v>3</v>
      </c>
      <c r="O153">
        <v>48.8</v>
      </c>
      <c r="P153">
        <v>1</v>
      </c>
      <c r="Q153">
        <v>1</v>
      </c>
      <c r="R153">
        <v>0</v>
      </c>
      <c r="S153" t="s">
        <v>63</v>
      </c>
      <c r="T153">
        <v>1</v>
      </c>
      <c r="U153">
        <v>0</v>
      </c>
      <c r="V153">
        <v>0</v>
      </c>
      <c r="W153">
        <v>0</v>
      </c>
      <c r="X153" t="s">
        <v>58</v>
      </c>
    </row>
    <row r="154" customHeight="1" spans="1:24">
      <c r="A154" t="s">
        <v>217</v>
      </c>
      <c r="B154">
        <v>59</v>
      </c>
      <c r="C154">
        <v>29</v>
      </c>
      <c r="D154" t="s">
        <v>72</v>
      </c>
      <c r="E154" t="s">
        <v>69</v>
      </c>
      <c r="F154" t="s">
        <v>55</v>
      </c>
      <c r="G154">
        <v>448</v>
      </c>
      <c r="H154">
        <v>12.76</v>
      </c>
      <c r="I154">
        <v>29</v>
      </c>
      <c r="J154">
        <v>1280.31</v>
      </c>
      <c r="K154">
        <v>1</v>
      </c>
      <c r="L154" t="s">
        <v>56</v>
      </c>
      <c r="M154">
        <v>3</v>
      </c>
      <c r="N154">
        <v>3</v>
      </c>
      <c r="O154">
        <v>7.8</v>
      </c>
      <c r="P154">
        <v>1</v>
      </c>
      <c r="Q154">
        <v>1</v>
      </c>
      <c r="R154">
        <v>0</v>
      </c>
      <c r="S154" t="s">
        <v>63</v>
      </c>
      <c r="T154">
        <v>1</v>
      </c>
      <c r="U154">
        <v>1</v>
      </c>
      <c r="V154">
        <v>0</v>
      </c>
      <c r="W154">
        <v>1</v>
      </c>
      <c r="X154" t="s">
        <v>58</v>
      </c>
    </row>
    <row r="155" customHeight="1" spans="1:24">
      <c r="A155" t="s">
        <v>218</v>
      </c>
      <c r="B155">
        <v>25</v>
      </c>
      <c r="C155">
        <v>24</v>
      </c>
      <c r="D155" t="s">
        <v>53</v>
      </c>
      <c r="E155" t="s">
        <v>54</v>
      </c>
      <c r="F155" t="s">
        <v>58</v>
      </c>
      <c r="G155">
        <v>372</v>
      </c>
      <c r="H155">
        <v>15.65</v>
      </c>
      <c r="I155">
        <v>119</v>
      </c>
      <c r="J155">
        <v>536.65</v>
      </c>
      <c r="K155">
        <v>1</v>
      </c>
      <c r="L155" t="s">
        <v>56</v>
      </c>
      <c r="M155">
        <v>1</v>
      </c>
      <c r="N155">
        <v>1</v>
      </c>
      <c r="O155">
        <v>19</v>
      </c>
      <c r="P155">
        <v>1</v>
      </c>
      <c r="Q155">
        <v>1</v>
      </c>
      <c r="R155">
        <v>0</v>
      </c>
      <c r="S155" t="s">
        <v>57</v>
      </c>
      <c r="T155">
        <v>1</v>
      </c>
      <c r="U155">
        <v>1</v>
      </c>
      <c r="V155">
        <v>0</v>
      </c>
      <c r="W155">
        <v>0</v>
      </c>
      <c r="X155" t="s">
        <v>58</v>
      </c>
    </row>
    <row r="156" customHeight="1" spans="1:24">
      <c r="A156" t="s">
        <v>219</v>
      </c>
      <c r="B156">
        <v>43</v>
      </c>
      <c r="C156">
        <v>39</v>
      </c>
      <c r="D156" t="s">
        <v>72</v>
      </c>
      <c r="E156" t="s">
        <v>65</v>
      </c>
      <c r="F156" t="s">
        <v>55</v>
      </c>
      <c r="G156">
        <v>293</v>
      </c>
      <c r="H156">
        <v>16.56</v>
      </c>
      <c r="I156">
        <v>44</v>
      </c>
      <c r="J156">
        <v>1199.55</v>
      </c>
      <c r="K156">
        <v>1</v>
      </c>
      <c r="L156" t="s">
        <v>56</v>
      </c>
      <c r="M156">
        <v>1</v>
      </c>
      <c r="N156">
        <v>2</v>
      </c>
      <c r="O156">
        <v>25.2</v>
      </c>
      <c r="P156">
        <v>1</v>
      </c>
      <c r="Q156">
        <v>1</v>
      </c>
      <c r="R156">
        <v>0</v>
      </c>
      <c r="S156" t="s">
        <v>63</v>
      </c>
      <c r="T156">
        <v>1</v>
      </c>
      <c r="U156">
        <v>1</v>
      </c>
      <c r="V156">
        <v>0</v>
      </c>
      <c r="W156">
        <v>1</v>
      </c>
      <c r="X156" t="s">
        <v>55</v>
      </c>
    </row>
    <row r="157" customHeight="1" spans="1:24">
      <c r="A157" t="s">
        <v>220</v>
      </c>
      <c r="B157">
        <v>43</v>
      </c>
      <c r="C157">
        <v>66</v>
      </c>
      <c r="D157" t="s">
        <v>53</v>
      </c>
      <c r="E157" t="s">
        <v>69</v>
      </c>
      <c r="F157" t="s">
        <v>58</v>
      </c>
      <c r="G157">
        <v>443</v>
      </c>
      <c r="H157">
        <v>7.92</v>
      </c>
      <c r="I157">
        <v>92</v>
      </c>
      <c r="J157">
        <v>316.04</v>
      </c>
      <c r="K157">
        <v>0</v>
      </c>
      <c r="L157" t="s">
        <v>62</v>
      </c>
      <c r="M157">
        <v>0</v>
      </c>
      <c r="N157">
        <v>0</v>
      </c>
      <c r="O157">
        <v>23.7</v>
      </c>
      <c r="P157">
        <v>0</v>
      </c>
      <c r="Q157">
        <v>1</v>
      </c>
      <c r="R157">
        <v>2</v>
      </c>
      <c r="S157" t="s">
        <v>63</v>
      </c>
      <c r="T157">
        <v>0</v>
      </c>
      <c r="U157">
        <v>0</v>
      </c>
      <c r="V157">
        <v>0</v>
      </c>
      <c r="W157">
        <v>0</v>
      </c>
      <c r="X157" t="s">
        <v>58</v>
      </c>
    </row>
    <row r="158" customHeight="1" spans="1:24">
      <c r="A158" t="s">
        <v>221</v>
      </c>
      <c r="B158">
        <v>34</v>
      </c>
      <c r="C158">
        <v>71</v>
      </c>
      <c r="D158" t="s">
        <v>53</v>
      </c>
      <c r="E158" t="s">
        <v>76</v>
      </c>
      <c r="F158" t="s">
        <v>58</v>
      </c>
      <c r="G158">
        <v>350</v>
      </c>
      <c r="H158">
        <v>30.66</v>
      </c>
      <c r="I158">
        <v>185</v>
      </c>
      <c r="J158">
        <v>522.68</v>
      </c>
      <c r="K158">
        <v>1</v>
      </c>
      <c r="L158" t="s">
        <v>56</v>
      </c>
      <c r="M158">
        <v>0</v>
      </c>
      <c r="N158">
        <v>0</v>
      </c>
      <c r="O158">
        <v>23.7</v>
      </c>
      <c r="P158">
        <v>0</v>
      </c>
      <c r="Q158">
        <v>0</v>
      </c>
      <c r="R158">
        <v>0</v>
      </c>
      <c r="S158" t="s">
        <v>63</v>
      </c>
      <c r="T158">
        <v>0</v>
      </c>
      <c r="U158">
        <v>1</v>
      </c>
      <c r="V158">
        <v>0</v>
      </c>
      <c r="W158">
        <v>0</v>
      </c>
      <c r="X158" t="s">
        <v>58</v>
      </c>
    </row>
    <row r="159" customHeight="1" spans="1:24">
      <c r="A159" t="s">
        <v>222</v>
      </c>
      <c r="B159">
        <v>31</v>
      </c>
      <c r="C159">
        <v>17</v>
      </c>
      <c r="D159" t="s">
        <v>60</v>
      </c>
      <c r="E159" t="s">
        <v>69</v>
      </c>
      <c r="F159" t="s">
        <v>58</v>
      </c>
      <c r="G159">
        <v>653</v>
      </c>
      <c r="H159">
        <v>26.83</v>
      </c>
      <c r="I159">
        <v>138</v>
      </c>
      <c r="J159">
        <v>846.82</v>
      </c>
      <c r="K159">
        <v>0</v>
      </c>
      <c r="L159" t="s">
        <v>62</v>
      </c>
      <c r="M159">
        <v>0</v>
      </c>
      <c r="N159">
        <v>0</v>
      </c>
      <c r="O159">
        <v>23.7</v>
      </c>
      <c r="P159">
        <v>0</v>
      </c>
      <c r="Q159">
        <v>1</v>
      </c>
      <c r="R159">
        <v>0</v>
      </c>
      <c r="S159" t="s">
        <v>57</v>
      </c>
      <c r="T159">
        <v>0</v>
      </c>
      <c r="U159">
        <v>0</v>
      </c>
      <c r="V159">
        <v>0</v>
      </c>
      <c r="W159">
        <v>0</v>
      </c>
      <c r="X159" t="s">
        <v>58</v>
      </c>
    </row>
    <row r="160" customHeight="1" spans="1:24">
      <c r="A160" t="s">
        <v>223</v>
      </c>
      <c r="B160">
        <v>66</v>
      </c>
      <c r="C160">
        <v>14</v>
      </c>
      <c r="D160" t="s">
        <v>53</v>
      </c>
      <c r="E160" t="s">
        <v>54</v>
      </c>
      <c r="F160" t="s">
        <v>58</v>
      </c>
      <c r="G160">
        <v>601</v>
      </c>
      <c r="H160">
        <v>14.94</v>
      </c>
      <c r="I160">
        <v>16</v>
      </c>
      <c r="J160">
        <v>548.79</v>
      </c>
      <c r="K160">
        <v>0</v>
      </c>
      <c r="L160" t="s">
        <v>62</v>
      </c>
      <c r="M160">
        <v>1</v>
      </c>
      <c r="N160">
        <v>1</v>
      </c>
      <c r="O160">
        <v>21.2</v>
      </c>
      <c r="P160">
        <v>3</v>
      </c>
      <c r="Q160">
        <v>0</v>
      </c>
      <c r="R160">
        <v>2</v>
      </c>
      <c r="S160" t="s">
        <v>57</v>
      </c>
      <c r="T160">
        <v>1</v>
      </c>
      <c r="U160">
        <v>0</v>
      </c>
      <c r="V160">
        <v>0</v>
      </c>
      <c r="W160">
        <v>0</v>
      </c>
      <c r="X160" t="s">
        <v>58</v>
      </c>
    </row>
    <row r="161" customHeight="1" spans="1:24">
      <c r="A161" t="s">
        <v>224</v>
      </c>
      <c r="B161">
        <v>43</v>
      </c>
      <c r="C161">
        <v>51</v>
      </c>
      <c r="D161" t="s">
        <v>53</v>
      </c>
      <c r="E161" t="s">
        <v>61</v>
      </c>
      <c r="F161" t="s">
        <v>58</v>
      </c>
      <c r="G161">
        <v>495</v>
      </c>
      <c r="H161">
        <v>24.42</v>
      </c>
      <c r="I161">
        <v>180</v>
      </c>
      <c r="J161">
        <v>443.85</v>
      </c>
      <c r="K161">
        <v>2</v>
      </c>
      <c r="L161" t="s">
        <v>56</v>
      </c>
      <c r="M161">
        <v>0</v>
      </c>
      <c r="N161">
        <v>1</v>
      </c>
      <c r="O161">
        <v>33.8</v>
      </c>
      <c r="P161">
        <v>1</v>
      </c>
      <c r="Q161">
        <v>2</v>
      </c>
      <c r="R161">
        <v>1</v>
      </c>
      <c r="S161" t="s">
        <v>63</v>
      </c>
      <c r="T161">
        <v>0</v>
      </c>
      <c r="U161">
        <v>1</v>
      </c>
      <c r="V161">
        <v>0</v>
      </c>
      <c r="W161">
        <v>0</v>
      </c>
      <c r="X161" t="s">
        <v>58</v>
      </c>
    </row>
    <row r="162" customHeight="1" spans="1:24">
      <c r="A162" t="s">
        <v>225</v>
      </c>
      <c r="B162">
        <v>51</v>
      </c>
      <c r="C162">
        <v>22</v>
      </c>
      <c r="D162" t="s">
        <v>53</v>
      </c>
      <c r="E162" t="s">
        <v>54</v>
      </c>
      <c r="F162" t="s">
        <v>58</v>
      </c>
      <c r="G162">
        <v>457</v>
      </c>
      <c r="H162">
        <v>20.23</v>
      </c>
      <c r="I162">
        <v>120</v>
      </c>
      <c r="J162">
        <v>464.33</v>
      </c>
      <c r="K162">
        <v>0</v>
      </c>
      <c r="L162" t="s">
        <v>62</v>
      </c>
      <c r="M162">
        <v>1</v>
      </c>
      <c r="N162">
        <v>2</v>
      </c>
      <c r="O162">
        <v>45.7</v>
      </c>
      <c r="P162">
        <v>1</v>
      </c>
      <c r="Q162">
        <v>1</v>
      </c>
      <c r="R162">
        <v>0</v>
      </c>
      <c r="S162" t="s">
        <v>57</v>
      </c>
      <c r="T162">
        <v>1</v>
      </c>
      <c r="U162">
        <v>0</v>
      </c>
      <c r="V162">
        <v>0</v>
      </c>
      <c r="W162">
        <v>0</v>
      </c>
      <c r="X162" t="s">
        <v>58</v>
      </c>
    </row>
    <row r="163" customHeight="1" spans="1:24">
      <c r="A163" t="s">
        <v>226</v>
      </c>
      <c r="B163">
        <v>20</v>
      </c>
      <c r="C163">
        <v>15</v>
      </c>
      <c r="D163" t="s">
        <v>60</v>
      </c>
      <c r="E163" t="s">
        <v>54</v>
      </c>
      <c r="F163" t="s">
        <v>58</v>
      </c>
      <c r="G163">
        <v>387</v>
      </c>
      <c r="H163">
        <v>25.2</v>
      </c>
      <c r="I163">
        <v>82</v>
      </c>
      <c r="J163">
        <v>757.01</v>
      </c>
      <c r="K163">
        <v>0</v>
      </c>
      <c r="L163" t="s">
        <v>62</v>
      </c>
      <c r="M163">
        <v>1</v>
      </c>
      <c r="N163">
        <v>1</v>
      </c>
      <c r="O163">
        <v>40.9</v>
      </c>
      <c r="P163">
        <v>2</v>
      </c>
      <c r="Q163">
        <v>0</v>
      </c>
      <c r="R163">
        <v>3</v>
      </c>
      <c r="S163" t="s">
        <v>57</v>
      </c>
      <c r="T163">
        <v>1</v>
      </c>
      <c r="U163">
        <v>0</v>
      </c>
      <c r="V163">
        <v>0</v>
      </c>
      <c r="W163">
        <v>0</v>
      </c>
      <c r="X163" t="s">
        <v>58</v>
      </c>
    </row>
    <row r="164" customHeight="1" spans="1:24">
      <c r="A164" t="s">
        <v>227</v>
      </c>
      <c r="B164">
        <v>34</v>
      </c>
      <c r="C164">
        <v>3</v>
      </c>
      <c r="D164" t="s">
        <v>72</v>
      </c>
      <c r="E164" t="s">
        <v>54</v>
      </c>
      <c r="F164" t="s">
        <v>55</v>
      </c>
      <c r="G164">
        <v>211</v>
      </c>
      <c r="H164">
        <v>4.56</v>
      </c>
      <c r="I164">
        <v>172</v>
      </c>
      <c r="J164">
        <v>1178.45</v>
      </c>
      <c r="K164">
        <v>0</v>
      </c>
      <c r="L164" t="s">
        <v>62</v>
      </c>
      <c r="M164">
        <v>2</v>
      </c>
      <c r="N164">
        <v>2</v>
      </c>
      <c r="O164">
        <v>22.4</v>
      </c>
      <c r="P164">
        <v>2</v>
      </c>
      <c r="Q164">
        <v>1</v>
      </c>
      <c r="R164">
        <v>0</v>
      </c>
      <c r="S164" t="s">
        <v>66</v>
      </c>
      <c r="T164">
        <v>1</v>
      </c>
      <c r="U164">
        <v>0</v>
      </c>
      <c r="V164">
        <v>1</v>
      </c>
      <c r="W164">
        <v>1</v>
      </c>
      <c r="X164" t="s">
        <v>55</v>
      </c>
    </row>
    <row r="165" customHeight="1" spans="1:24">
      <c r="A165" t="s">
        <v>228</v>
      </c>
      <c r="B165">
        <v>30</v>
      </c>
      <c r="C165">
        <v>30</v>
      </c>
      <c r="D165" t="s">
        <v>53</v>
      </c>
      <c r="E165" t="s">
        <v>69</v>
      </c>
      <c r="F165" t="s">
        <v>55</v>
      </c>
      <c r="G165">
        <v>368</v>
      </c>
      <c r="H165">
        <v>16.54</v>
      </c>
      <c r="I165">
        <v>108</v>
      </c>
      <c r="J165">
        <v>380.5</v>
      </c>
      <c r="K165">
        <v>0</v>
      </c>
      <c r="L165" t="s">
        <v>62</v>
      </c>
      <c r="M165">
        <v>0</v>
      </c>
      <c r="N165">
        <v>1</v>
      </c>
      <c r="O165">
        <v>23.4</v>
      </c>
      <c r="P165">
        <v>0</v>
      </c>
      <c r="Q165">
        <v>0</v>
      </c>
      <c r="R165">
        <v>1</v>
      </c>
      <c r="S165" t="s">
        <v>63</v>
      </c>
      <c r="T165">
        <v>0</v>
      </c>
      <c r="U165">
        <v>0</v>
      </c>
      <c r="V165">
        <v>0</v>
      </c>
      <c r="W165">
        <v>1</v>
      </c>
      <c r="X165" t="s">
        <v>55</v>
      </c>
    </row>
    <row r="166" customHeight="1" spans="1:24">
      <c r="A166" t="s">
        <v>229</v>
      </c>
      <c r="B166">
        <v>37</v>
      </c>
      <c r="C166">
        <v>29</v>
      </c>
      <c r="D166" t="s">
        <v>60</v>
      </c>
      <c r="E166" t="s">
        <v>65</v>
      </c>
      <c r="F166" t="s">
        <v>58</v>
      </c>
      <c r="G166">
        <v>415</v>
      </c>
      <c r="H166">
        <v>17.42</v>
      </c>
      <c r="I166">
        <v>38</v>
      </c>
      <c r="J166">
        <v>896.81</v>
      </c>
      <c r="K166">
        <v>0</v>
      </c>
      <c r="L166" t="s">
        <v>62</v>
      </c>
      <c r="M166">
        <v>1</v>
      </c>
      <c r="N166">
        <v>2</v>
      </c>
      <c r="O166">
        <v>24.6</v>
      </c>
      <c r="P166">
        <v>2</v>
      </c>
      <c r="Q166">
        <v>0</v>
      </c>
      <c r="R166">
        <v>0</v>
      </c>
      <c r="S166" t="s">
        <v>63</v>
      </c>
      <c r="T166">
        <v>1</v>
      </c>
      <c r="U166">
        <v>0</v>
      </c>
      <c r="V166">
        <v>0</v>
      </c>
      <c r="W166">
        <v>0</v>
      </c>
      <c r="X166" t="s">
        <v>58</v>
      </c>
    </row>
    <row r="167" customHeight="1" spans="1:24">
      <c r="A167" t="s">
        <v>230</v>
      </c>
      <c r="B167">
        <v>66</v>
      </c>
      <c r="C167">
        <v>41</v>
      </c>
      <c r="D167" t="s">
        <v>72</v>
      </c>
      <c r="E167" t="s">
        <v>61</v>
      </c>
      <c r="F167" t="s">
        <v>58</v>
      </c>
      <c r="G167">
        <v>434</v>
      </c>
      <c r="H167">
        <v>24.24</v>
      </c>
      <c r="I167">
        <v>249</v>
      </c>
      <c r="J167">
        <v>978.97</v>
      </c>
      <c r="K167">
        <v>1</v>
      </c>
      <c r="L167" t="s">
        <v>56</v>
      </c>
      <c r="M167">
        <v>0</v>
      </c>
      <c r="N167">
        <v>1</v>
      </c>
      <c r="O167">
        <v>25.8</v>
      </c>
      <c r="P167">
        <v>1</v>
      </c>
      <c r="Q167">
        <v>0</v>
      </c>
      <c r="R167">
        <v>0</v>
      </c>
      <c r="S167" t="s">
        <v>63</v>
      </c>
      <c r="T167">
        <v>0</v>
      </c>
      <c r="U167">
        <v>1</v>
      </c>
      <c r="V167">
        <v>0</v>
      </c>
      <c r="W167">
        <v>0</v>
      </c>
      <c r="X167" t="s">
        <v>58</v>
      </c>
    </row>
    <row r="168" customHeight="1" spans="1:24">
      <c r="A168" t="s">
        <v>231</v>
      </c>
      <c r="B168">
        <v>51</v>
      </c>
      <c r="C168">
        <v>15</v>
      </c>
      <c r="D168" t="s">
        <v>53</v>
      </c>
      <c r="E168" t="s">
        <v>69</v>
      </c>
      <c r="F168" t="s">
        <v>58</v>
      </c>
      <c r="G168">
        <v>470</v>
      </c>
      <c r="H168">
        <v>11.72</v>
      </c>
      <c r="I168">
        <v>119</v>
      </c>
      <c r="J168">
        <v>356.84</v>
      </c>
      <c r="K168">
        <v>1</v>
      </c>
      <c r="L168" t="s">
        <v>56</v>
      </c>
      <c r="M168">
        <v>1</v>
      </c>
      <c r="N168">
        <v>1</v>
      </c>
      <c r="O168">
        <v>13.8</v>
      </c>
      <c r="P168">
        <v>1</v>
      </c>
      <c r="Q168">
        <v>0</v>
      </c>
      <c r="R168">
        <v>0</v>
      </c>
      <c r="S168" t="s">
        <v>57</v>
      </c>
      <c r="T168">
        <v>1</v>
      </c>
      <c r="U168">
        <v>1</v>
      </c>
      <c r="V168">
        <v>0</v>
      </c>
      <c r="W168">
        <v>0</v>
      </c>
      <c r="X168" t="s">
        <v>58</v>
      </c>
    </row>
    <row r="169" customHeight="1" spans="1:24">
      <c r="A169" t="s">
        <v>232</v>
      </c>
      <c r="B169">
        <v>70</v>
      </c>
      <c r="C169">
        <v>52</v>
      </c>
      <c r="D169" t="s">
        <v>53</v>
      </c>
      <c r="E169" t="s">
        <v>76</v>
      </c>
      <c r="F169" t="s">
        <v>58</v>
      </c>
      <c r="G169">
        <v>538</v>
      </c>
      <c r="H169">
        <v>0.5</v>
      </c>
      <c r="I169">
        <v>114</v>
      </c>
      <c r="J169">
        <v>333.24</v>
      </c>
      <c r="K169">
        <v>1</v>
      </c>
      <c r="L169" t="s">
        <v>56</v>
      </c>
      <c r="M169">
        <v>1</v>
      </c>
      <c r="N169">
        <v>2</v>
      </c>
      <c r="O169">
        <v>35.2</v>
      </c>
      <c r="P169">
        <v>0</v>
      </c>
      <c r="Q169">
        <v>0</v>
      </c>
      <c r="R169">
        <v>0</v>
      </c>
      <c r="S169" t="s">
        <v>63</v>
      </c>
      <c r="T169">
        <v>1</v>
      </c>
      <c r="U169">
        <v>1</v>
      </c>
      <c r="V169">
        <v>1</v>
      </c>
      <c r="W169">
        <v>0</v>
      </c>
      <c r="X169" t="s">
        <v>58</v>
      </c>
    </row>
    <row r="170" customHeight="1" spans="1:24">
      <c r="A170" t="s">
        <v>233</v>
      </c>
      <c r="B170">
        <v>42</v>
      </c>
      <c r="C170">
        <v>49</v>
      </c>
      <c r="D170" t="s">
        <v>72</v>
      </c>
      <c r="E170" t="s">
        <v>61</v>
      </c>
      <c r="F170" t="s">
        <v>58</v>
      </c>
      <c r="G170">
        <v>296</v>
      </c>
      <c r="H170">
        <v>7.18</v>
      </c>
      <c r="I170">
        <v>92</v>
      </c>
      <c r="J170">
        <v>1448.65</v>
      </c>
      <c r="K170">
        <v>0</v>
      </c>
      <c r="L170" t="s">
        <v>62</v>
      </c>
      <c r="M170">
        <v>0</v>
      </c>
      <c r="N170">
        <v>0</v>
      </c>
      <c r="O170">
        <v>26.5</v>
      </c>
      <c r="P170">
        <v>0</v>
      </c>
      <c r="Q170">
        <v>1</v>
      </c>
      <c r="R170">
        <v>1</v>
      </c>
      <c r="S170" t="s">
        <v>63</v>
      </c>
      <c r="T170">
        <v>0</v>
      </c>
      <c r="U170">
        <v>0</v>
      </c>
      <c r="V170">
        <v>0</v>
      </c>
      <c r="W170">
        <v>0</v>
      </c>
      <c r="X170" t="s">
        <v>58</v>
      </c>
    </row>
    <row r="171" customHeight="1" spans="1:24">
      <c r="A171" t="s">
        <v>234</v>
      </c>
      <c r="B171">
        <v>62</v>
      </c>
      <c r="C171">
        <v>34</v>
      </c>
      <c r="D171" t="s">
        <v>72</v>
      </c>
      <c r="E171" t="s">
        <v>54</v>
      </c>
      <c r="F171" t="s">
        <v>55</v>
      </c>
      <c r="G171">
        <v>298</v>
      </c>
      <c r="H171">
        <v>17.39</v>
      </c>
      <c r="I171">
        <v>203</v>
      </c>
      <c r="J171">
        <v>1086.6</v>
      </c>
      <c r="K171">
        <v>0</v>
      </c>
      <c r="L171" t="s">
        <v>62</v>
      </c>
      <c r="M171">
        <v>0</v>
      </c>
      <c r="N171">
        <v>0</v>
      </c>
      <c r="O171">
        <v>23.5</v>
      </c>
      <c r="P171">
        <v>2</v>
      </c>
      <c r="Q171">
        <v>1</v>
      </c>
      <c r="R171">
        <v>0</v>
      </c>
      <c r="S171" t="s">
        <v>63</v>
      </c>
      <c r="T171">
        <v>0</v>
      </c>
      <c r="U171">
        <v>0</v>
      </c>
      <c r="V171">
        <v>0</v>
      </c>
      <c r="W171">
        <v>1</v>
      </c>
      <c r="X171" t="s">
        <v>55</v>
      </c>
    </row>
    <row r="172" customHeight="1" spans="1:24">
      <c r="A172" t="s">
        <v>235</v>
      </c>
      <c r="B172">
        <v>27</v>
      </c>
      <c r="C172">
        <v>14</v>
      </c>
      <c r="D172" t="s">
        <v>60</v>
      </c>
      <c r="E172" t="s">
        <v>54</v>
      </c>
      <c r="F172" t="s">
        <v>58</v>
      </c>
      <c r="G172">
        <v>618</v>
      </c>
      <c r="H172">
        <v>18.64</v>
      </c>
      <c r="I172">
        <v>83</v>
      </c>
      <c r="J172">
        <v>703.66</v>
      </c>
      <c r="K172">
        <v>0</v>
      </c>
      <c r="L172" t="s">
        <v>62</v>
      </c>
      <c r="M172">
        <v>0</v>
      </c>
      <c r="N172">
        <v>3</v>
      </c>
      <c r="O172">
        <v>8.7</v>
      </c>
      <c r="P172">
        <v>0</v>
      </c>
      <c r="Q172">
        <v>0</v>
      </c>
      <c r="R172">
        <v>0</v>
      </c>
      <c r="S172" t="s">
        <v>57</v>
      </c>
      <c r="T172">
        <v>0</v>
      </c>
      <c r="U172">
        <v>0</v>
      </c>
      <c r="V172">
        <v>0</v>
      </c>
      <c r="W172">
        <v>0</v>
      </c>
      <c r="X172" t="s">
        <v>58</v>
      </c>
    </row>
    <row r="173" customHeight="1" spans="1:24">
      <c r="A173" t="s">
        <v>236</v>
      </c>
      <c r="B173">
        <v>65</v>
      </c>
      <c r="C173">
        <v>37</v>
      </c>
      <c r="D173" t="s">
        <v>72</v>
      </c>
      <c r="E173" t="s">
        <v>61</v>
      </c>
      <c r="F173" t="s">
        <v>58</v>
      </c>
      <c r="G173">
        <v>516</v>
      </c>
      <c r="H173">
        <v>34.84</v>
      </c>
      <c r="I173">
        <v>12</v>
      </c>
      <c r="J173">
        <v>1067.38</v>
      </c>
      <c r="K173">
        <v>0</v>
      </c>
      <c r="L173" t="s">
        <v>62</v>
      </c>
      <c r="M173">
        <v>0</v>
      </c>
      <c r="N173">
        <v>0</v>
      </c>
      <c r="O173">
        <v>24.7</v>
      </c>
      <c r="P173">
        <v>1</v>
      </c>
      <c r="Q173">
        <v>1</v>
      </c>
      <c r="R173">
        <v>0</v>
      </c>
      <c r="S173" t="s">
        <v>63</v>
      </c>
      <c r="T173">
        <v>0</v>
      </c>
      <c r="U173">
        <v>0</v>
      </c>
      <c r="V173">
        <v>0</v>
      </c>
      <c r="W173">
        <v>0</v>
      </c>
      <c r="X173" t="s">
        <v>58</v>
      </c>
    </row>
    <row r="174" customHeight="1" spans="1:24">
      <c r="A174" t="s">
        <v>237</v>
      </c>
      <c r="B174">
        <v>53</v>
      </c>
      <c r="C174">
        <v>49</v>
      </c>
      <c r="D174" t="s">
        <v>53</v>
      </c>
      <c r="E174" t="s">
        <v>65</v>
      </c>
      <c r="F174" t="s">
        <v>55</v>
      </c>
      <c r="G174">
        <v>341</v>
      </c>
      <c r="H174">
        <v>23.83</v>
      </c>
      <c r="I174">
        <v>72</v>
      </c>
      <c r="J174">
        <v>402.47</v>
      </c>
      <c r="K174">
        <v>0</v>
      </c>
      <c r="L174" t="s">
        <v>62</v>
      </c>
      <c r="M174">
        <v>2</v>
      </c>
      <c r="N174">
        <v>3</v>
      </c>
      <c r="O174">
        <v>1.3</v>
      </c>
      <c r="P174">
        <v>0</v>
      </c>
      <c r="Q174">
        <v>0</v>
      </c>
      <c r="R174">
        <v>0</v>
      </c>
      <c r="S174" t="s">
        <v>63</v>
      </c>
      <c r="T174">
        <v>1</v>
      </c>
      <c r="U174">
        <v>0</v>
      </c>
      <c r="V174">
        <v>0</v>
      </c>
      <c r="W174">
        <v>1</v>
      </c>
      <c r="X174" t="s">
        <v>55</v>
      </c>
    </row>
    <row r="175" customHeight="1" spans="1:24">
      <c r="A175" t="s">
        <v>238</v>
      </c>
      <c r="B175">
        <v>20</v>
      </c>
      <c r="C175">
        <v>27</v>
      </c>
      <c r="D175" t="s">
        <v>60</v>
      </c>
      <c r="E175" t="s">
        <v>61</v>
      </c>
      <c r="F175" t="s">
        <v>58</v>
      </c>
      <c r="G175">
        <v>384</v>
      </c>
      <c r="H175">
        <v>18.82</v>
      </c>
      <c r="I175">
        <v>213</v>
      </c>
      <c r="J175">
        <v>869.16</v>
      </c>
      <c r="K175">
        <v>0</v>
      </c>
      <c r="L175" t="s">
        <v>62</v>
      </c>
      <c r="M175">
        <v>0</v>
      </c>
      <c r="N175">
        <v>0</v>
      </c>
      <c r="O175">
        <v>23.7</v>
      </c>
      <c r="P175">
        <v>1</v>
      </c>
      <c r="Q175">
        <v>1</v>
      </c>
      <c r="R175">
        <v>0</v>
      </c>
      <c r="S175" t="s">
        <v>63</v>
      </c>
      <c r="T175">
        <v>0</v>
      </c>
      <c r="U175">
        <v>0</v>
      </c>
      <c r="V175">
        <v>0</v>
      </c>
      <c r="W175">
        <v>0</v>
      </c>
      <c r="X175" t="s">
        <v>58</v>
      </c>
    </row>
    <row r="176" customHeight="1" spans="1:24">
      <c r="A176" t="s">
        <v>239</v>
      </c>
      <c r="B176">
        <v>57</v>
      </c>
      <c r="C176">
        <v>19</v>
      </c>
      <c r="D176" t="s">
        <v>60</v>
      </c>
      <c r="E176" t="s">
        <v>76</v>
      </c>
      <c r="F176" t="s">
        <v>58</v>
      </c>
      <c r="G176">
        <v>385</v>
      </c>
      <c r="H176">
        <v>17.68</v>
      </c>
      <c r="I176">
        <v>178</v>
      </c>
      <c r="J176">
        <v>679.87</v>
      </c>
      <c r="K176">
        <v>0</v>
      </c>
      <c r="L176" t="s">
        <v>62</v>
      </c>
      <c r="M176">
        <v>1</v>
      </c>
      <c r="N176">
        <v>1</v>
      </c>
      <c r="O176">
        <v>17.2</v>
      </c>
      <c r="P176">
        <v>1</v>
      </c>
      <c r="Q176">
        <v>0</v>
      </c>
      <c r="R176">
        <v>1</v>
      </c>
      <c r="S176" t="s">
        <v>57</v>
      </c>
      <c r="T176">
        <v>1</v>
      </c>
      <c r="U176">
        <v>0</v>
      </c>
      <c r="V176">
        <v>0</v>
      </c>
      <c r="W176">
        <v>0</v>
      </c>
      <c r="X176" t="s">
        <v>58</v>
      </c>
    </row>
    <row r="177" customHeight="1" spans="1:24">
      <c r="A177" t="s">
        <v>240</v>
      </c>
      <c r="B177">
        <v>45</v>
      </c>
      <c r="C177">
        <v>37</v>
      </c>
      <c r="D177" t="s">
        <v>53</v>
      </c>
      <c r="E177" t="s">
        <v>61</v>
      </c>
      <c r="F177" t="s">
        <v>58</v>
      </c>
      <c r="G177">
        <v>405</v>
      </c>
      <c r="H177">
        <v>29.04</v>
      </c>
      <c r="I177">
        <v>102</v>
      </c>
      <c r="J177">
        <v>396.01</v>
      </c>
      <c r="K177">
        <v>2</v>
      </c>
      <c r="L177" t="s">
        <v>56</v>
      </c>
      <c r="M177">
        <v>1</v>
      </c>
      <c r="N177">
        <v>1</v>
      </c>
      <c r="O177">
        <v>27.4</v>
      </c>
      <c r="P177">
        <v>2</v>
      </c>
      <c r="Q177">
        <v>1</v>
      </c>
      <c r="R177">
        <v>0</v>
      </c>
      <c r="S177" t="s">
        <v>63</v>
      </c>
      <c r="T177">
        <v>1</v>
      </c>
      <c r="U177">
        <v>1</v>
      </c>
      <c r="V177">
        <v>0</v>
      </c>
      <c r="W177">
        <v>0</v>
      </c>
      <c r="X177" t="s">
        <v>58</v>
      </c>
    </row>
    <row r="178" customHeight="1" spans="1:24">
      <c r="A178" t="s">
        <v>241</v>
      </c>
      <c r="B178">
        <v>18</v>
      </c>
      <c r="C178">
        <v>26</v>
      </c>
      <c r="D178" t="s">
        <v>72</v>
      </c>
      <c r="E178" t="s">
        <v>65</v>
      </c>
      <c r="F178" t="s">
        <v>55</v>
      </c>
      <c r="G178">
        <v>471</v>
      </c>
      <c r="H178">
        <v>12.1</v>
      </c>
      <c r="I178">
        <v>216</v>
      </c>
      <c r="J178">
        <v>1238.63</v>
      </c>
      <c r="K178">
        <v>1</v>
      </c>
      <c r="L178" t="s">
        <v>56</v>
      </c>
      <c r="M178">
        <v>0</v>
      </c>
      <c r="N178">
        <v>1</v>
      </c>
      <c r="O178">
        <v>46.6</v>
      </c>
      <c r="P178">
        <v>3</v>
      </c>
      <c r="Q178">
        <v>1</v>
      </c>
      <c r="R178">
        <v>0</v>
      </c>
      <c r="S178" t="s">
        <v>63</v>
      </c>
      <c r="T178">
        <v>0</v>
      </c>
      <c r="U178">
        <v>1</v>
      </c>
      <c r="V178">
        <v>0</v>
      </c>
      <c r="W178">
        <v>1</v>
      </c>
      <c r="X178" t="s">
        <v>55</v>
      </c>
    </row>
    <row r="179" customHeight="1" spans="1:24">
      <c r="A179" t="s">
        <v>242</v>
      </c>
      <c r="B179">
        <v>67</v>
      </c>
      <c r="C179">
        <v>29</v>
      </c>
      <c r="D179" t="s">
        <v>60</v>
      </c>
      <c r="E179" t="s">
        <v>69</v>
      </c>
      <c r="F179" t="s">
        <v>55</v>
      </c>
      <c r="G179">
        <v>780</v>
      </c>
      <c r="H179">
        <v>16.6</v>
      </c>
      <c r="I179">
        <v>172</v>
      </c>
      <c r="J179">
        <v>782.83</v>
      </c>
      <c r="K179">
        <v>0</v>
      </c>
      <c r="L179" t="s">
        <v>62</v>
      </c>
      <c r="M179">
        <v>2</v>
      </c>
      <c r="N179">
        <v>2</v>
      </c>
      <c r="O179">
        <v>30.9</v>
      </c>
      <c r="P179">
        <v>2</v>
      </c>
      <c r="Q179">
        <v>2</v>
      </c>
      <c r="R179">
        <v>0</v>
      </c>
      <c r="S179" t="s">
        <v>63</v>
      </c>
      <c r="T179">
        <v>1</v>
      </c>
      <c r="U179">
        <v>0</v>
      </c>
      <c r="V179">
        <v>0</v>
      </c>
      <c r="W179">
        <v>1</v>
      </c>
      <c r="X179" t="s">
        <v>55</v>
      </c>
    </row>
    <row r="180" customHeight="1" spans="1:24">
      <c r="A180" t="s">
        <v>243</v>
      </c>
      <c r="B180">
        <v>49</v>
      </c>
      <c r="C180">
        <v>26</v>
      </c>
      <c r="D180" t="s">
        <v>72</v>
      </c>
      <c r="E180" t="s">
        <v>69</v>
      </c>
      <c r="F180" t="s">
        <v>58</v>
      </c>
      <c r="G180">
        <v>428</v>
      </c>
      <c r="H180">
        <v>7.11</v>
      </c>
      <c r="I180">
        <v>101</v>
      </c>
      <c r="J180">
        <v>1143.71</v>
      </c>
      <c r="K180">
        <v>1</v>
      </c>
      <c r="L180" t="s">
        <v>56</v>
      </c>
      <c r="M180">
        <v>1</v>
      </c>
      <c r="N180">
        <v>2</v>
      </c>
      <c r="O180">
        <v>41.4</v>
      </c>
      <c r="P180">
        <v>0</v>
      </c>
      <c r="Q180">
        <v>1</v>
      </c>
      <c r="R180">
        <v>0</v>
      </c>
      <c r="S180" t="s">
        <v>63</v>
      </c>
      <c r="T180">
        <v>1</v>
      </c>
      <c r="U180">
        <v>1</v>
      </c>
      <c r="V180">
        <v>0</v>
      </c>
      <c r="W180">
        <v>0</v>
      </c>
      <c r="X180" t="s">
        <v>58</v>
      </c>
    </row>
    <row r="181" customHeight="1" spans="1:24">
      <c r="A181" t="s">
        <v>244</v>
      </c>
      <c r="B181">
        <v>53</v>
      </c>
      <c r="C181">
        <v>22</v>
      </c>
      <c r="D181" t="s">
        <v>60</v>
      </c>
      <c r="E181" t="s">
        <v>61</v>
      </c>
      <c r="F181" t="s">
        <v>58</v>
      </c>
      <c r="G181">
        <v>499</v>
      </c>
      <c r="H181">
        <v>32.19</v>
      </c>
      <c r="I181">
        <v>108</v>
      </c>
      <c r="J181">
        <v>661.66</v>
      </c>
      <c r="K181">
        <v>0</v>
      </c>
      <c r="L181" t="s">
        <v>62</v>
      </c>
      <c r="M181">
        <v>0</v>
      </c>
      <c r="N181">
        <v>0</v>
      </c>
      <c r="O181">
        <v>31.7</v>
      </c>
      <c r="P181">
        <v>0</v>
      </c>
      <c r="Q181">
        <v>0</v>
      </c>
      <c r="R181">
        <v>1</v>
      </c>
      <c r="S181" t="s">
        <v>57</v>
      </c>
      <c r="T181">
        <v>0</v>
      </c>
      <c r="U181">
        <v>0</v>
      </c>
      <c r="V181">
        <v>0</v>
      </c>
      <c r="W181">
        <v>0</v>
      </c>
      <c r="X181" t="s">
        <v>58</v>
      </c>
    </row>
    <row r="182" customHeight="1" spans="1:24">
      <c r="A182" t="s">
        <v>245</v>
      </c>
      <c r="B182">
        <v>51</v>
      </c>
      <c r="C182">
        <v>52</v>
      </c>
      <c r="D182" t="s">
        <v>60</v>
      </c>
      <c r="E182" t="s">
        <v>65</v>
      </c>
      <c r="F182" t="s">
        <v>58</v>
      </c>
      <c r="G182">
        <v>147</v>
      </c>
      <c r="H182">
        <v>21.92</v>
      </c>
      <c r="I182">
        <v>143</v>
      </c>
      <c r="J182">
        <v>855.21</v>
      </c>
      <c r="K182">
        <v>0</v>
      </c>
      <c r="L182" t="s">
        <v>62</v>
      </c>
      <c r="M182">
        <v>0</v>
      </c>
      <c r="N182">
        <v>0</v>
      </c>
      <c r="O182">
        <v>37.5</v>
      </c>
      <c r="P182">
        <v>1</v>
      </c>
      <c r="Q182">
        <v>0</v>
      </c>
      <c r="R182">
        <v>0</v>
      </c>
      <c r="S182" t="s">
        <v>63</v>
      </c>
      <c r="T182">
        <v>0</v>
      </c>
      <c r="U182">
        <v>0</v>
      </c>
      <c r="V182">
        <v>0</v>
      </c>
      <c r="W182">
        <v>0</v>
      </c>
      <c r="X182" t="s">
        <v>58</v>
      </c>
    </row>
    <row r="183" customHeight="1" spans="1:24">
      <c r="A183" t="s">
        <v>246</v>
      </c>
      <c r="B183">
        <v>23</v>
      </c>
      <c r="C183">
        <v>34</v>
      </c>
      <c r="D183" t="s">
        <v>53</v>
      </c>
      <c r="E183" t="s">
        <v>65</v>
      </c>
      <c r="F183" t="s">
        <v>55</v>
      </c>
      <c r="G183">
        <v>327</v>
      </c>
      <c r="H183">
        <v>10.92</v>
      </c>
      <c r="I183">
        <v>62</v>
      </c>
      <c r="J183">
        <v>411.36</v>
      </c>
      <c r="K183">
        <v>0</v>
      </c>
      <c r="L183" t="s">
        <v>62</v>
      </c>
      <c r="M183">
        <v>0</v>
      </c>
      <c r="N183">
        <v>0</v>
      </c>
      <c r="O183">
        <v>23.7</v>
      </c>
      <c r="P183">
        <v>0</v>
      </c>
      <c r="Q183">
        <v>0</v>
      </c>
      <c r="R183">
        <v>0</v>
      </c>
      <c r="S183" t="s">
        <v>63</v>
      </c>
      <c r="T183">
        <v>0</v>
      </c>
      <c r="U183">
        <v>0</v>
      </c>
      <c r="V183">
        <v>0</v>
      </c>
      <c r="W183">
        <v>1</v>
      </c>
      <c r="X183" t="s">
        <v>55</v>
      </c>
    </row>
    <row r="184" customHeight="1" spans="1:24">
      <c r="A184" t="s">
        <v>247</v>
      </c>
      <c r="B184">
        <v>37</v>
      </c>
      <c r="C184">
        <v>34</v>
      </c>
      <c r="D184" t="s">
        <v>53</v>
      </c>
      <c r="E184" t="s">
        <v>54</v>
      </c>
      <c r="F184" t="s">
        <v>55</v>
      </c>
      <c r="G184">
        <v>584</v>
      </c>
      <c r="H184">
        <v>16.86</v>
      </c>
      <c r="I184">
        <v>120</v>
      </c>
      <c r="J184">
        <v>439.14</v>
      </c>
      <c r="K184">
        <v>0</v>
      </c>
      <c r="L184" t="s">
        <v>62</v>
      </c>
      <c r="M184">
        <v>1</v>
      </c>
      <c r="N184">
        <v>1</v>
      </c>
      <c r="O184">
        <v>15.2</v>
      </c>
      <c r="P184">
        <v>1</v>
      </c>
      <c r="Q184">
        <v>1</v>
      </c>
      <c r="R184">
        <v>0</v>
      </c>
      <c r="S184" t="s">
        <v>63</v>
      </c>
      <c r="T184">
        <v>1</v>
      </c>
      <c r="U184">
        <v>0</v>
      </c>
      <c r="V184">
        <v>0</v>
      </c>
      <c r="W184">
        <v>1</v>
      </c>
      <c r="X184" t="s">
        <v>58</v>
      </c>
    </row>
    <row r="185" customHeight="1" spans="1:24">
      <c r="A185" t="s">
        <v>248</v>
      </c>
      <c r="B185">
        <v>58</v>
      </c>
      <c r="C185">
        <v>48</v>
      </c>
      <c r="D185" t="s">
        <v>72</v>
      </c>
      <c r="E185" t="s">
        <v>65</v>
      </c>
      <c r="F185" t="s">
        <v>58</v>
      </c>
      <c r="G185">
        <v>460</v>
      </c>
      <c r="H185">
        <v>23.1</v>
      </c>
      <c r="I185">
        <v>142</v>
      </c>
      <c r="J185">
        <v>1069.03</v>
      </c>
      <c r="K185">
        <v>0</v>
      </c>
      <c r="L185" t="s">
        <v>62</v>
      </c>
      <c r="M185">
        <v>0</v>
      </c>
      <c r="N185">
        <v>2</v>
      </c>
      <c r="O185">
        <v>14.4</v>
      </c>
      <c r="P185">
        <v>0</v>
      </c>
      <c r="Q185">
        <v>0</v>
      </c>
      <c r="R185">
        <v>0</v>
      </c>
      <c r="S185" t="s">
        <v>63</v>
      </c>
      <c r="T185">
        <v>0</v>
      </c>
      <c r="U185">
        <v>0</v>
      </c>
      <c r="V185">
        <v>0</v>
      </c>
      <c r="W185">
        <v>0</v>
      </c>
      <c r="X185" t="s">
        <v>58</v>
      </c>
    </row>
    <row r="186" customHeight="1" spans="1:24">
      <c r="A186" t="s">
        <v>249</v>
      </c>
      <c r="B186">
        <v>37</v>
      </c>
      <c r="C186">
        <v>27</v>
      </c>
      <c r="D186" t="s">
        <v>53</v>
      </c>
      <c r="E186" t="s">
        <v>65</v>
      </c>
      <c r="F186" t="s">
        <v>55</v>
      </c>
      <c r="G186">
        <v>20</v>
      </c>
      <c r="H186">
        <v>15.49</v>
      </c>
      <c r="I186">
        <v>2</v>
      </c>
      <c r="J186">
        <v>552.63</v>
      </c>
      <c r="K186">
        <v>0</v>
      </c>
      <c r="L186" t="s">
        <v>62</v>
      </c>
      <c r="M186">
        <v>0</v>
      </c>
      <c r="N186">
        <v>0</v>
      </c>
      <c r="O186">
        <v>32</v>
      </c>
      <c r="P186">
        <v>1</v>
      </c>
      <c r="Q186">
        <v>0</v>
      </c>
      <c r="R186">
        <v>0</v>
      </c>
      <c r="S186" t="s">
        <v>63</v>
      </c>
      <c r="T186">
        <v>0</v>
      </c>
      <c r="U186">
        <v>0</v>
      </c>
      <c r="V186">
        <v>0</v>
      </c>
      <c r="W186">
        <v>1</v>
      </c>
      <c r="X186" t="s">
        <v>55</v>
      </c>
    </row>
    <row r="187" customHeight="1" spans="1:24">
      <c r="A187" t="s">
        <v>250</v>
      </c>
      <c r="B187">
        <v>69</v>
      </c>
      <c r="C187">
        <v>8</v>
      </c>
      <c r="D187" t="s">
        <v>53</v>
      </c>
      <c r="E187" t="s">
        <v>76</v>
      </c>
      <c r="F187" t="s">
        <v>58</v>
      </c>
      <c r="G187">
        <v>501</v>
      </c>
      <c r="H187">
        <v>12.66</v>
      </c>
      <c r="I187">
        <v>107</v>
      </c>
      <c r="J187">
        <v>392.82</v>
      </c>
      <c r="K187">
        <v>0</v>
      </c>
      <c r="L187" t="s">
        <v>62</v>
      </c>
      <c r="M187">
        <v>0</v>
      </c>
      <c r="N187">
        <v>0</v>
      </c>
      <c r="O187">
        <v>24</v>
      </c>
      <c r="P187">
        <v>1</v>
      </c>
      <c r="Q187">
        <v>1</v>
      </c>
      <c r="R187">
        <v>0</v>
      </c>
      <c r="S187" t="s">
        <v>57</v>
      </c>
      <c r="T187">
        <v>0</v>
      </c>
      <c r="U187">
        <v>0</v>
      </c>
      <c r="V187">
        <v>0</v>
      </c>
      <c r="W187">
        <v>0</v>
      </c>
      <c r="X187" t="s">
        <v>58</v>
      </c>
    </row>
    <row r="188" customHeight="1" spans="1:24">
      <c r="A188" t="s">
        <v>251</v>
      </c>
      <c r="B188">
        <v>36</v>
      </c>
      <c r="C188">
        <v>62</v>
      </c>
      <c r="D188" t="s">
        <v>53</v>
      </c>
      <c r="E188" t="s">
        <v>61</v>
      </c>
      <c r="F188" t="s">
        <v>58</v>
      </c>
      <c r="G188">
        <v>688</v>
      </c>
      <c r="H188">
        <v>11.46</v>
      </c>
      <c r="I188">
        <v>99</v>
      </c>
      <c r="J188">
        <v>447.03</v>
      </c>
      <c r="K188">
        <v>0</v>
      </c>
      <c r="L188" t="s">
        <v>62</v>
      </c>
      <c r="M188">
        <v>3</v>
      </c>
      <c r="N188">
        <v>4</v>
      </c>
      <c r="O188">
        <v>26.6</v>
      </c>
      <c r="P188">
        <v>2</v>
      </c>
      <c r="Q188">
        <v>0</v>
      </c>
      <c r="R188">
        <v>0</v>
      </c>
      <c r="S188" t="s">
        <v>63</v>
      </c>
      <c r="T188">
        <v>1</v>
      </c>
      <c r="U188">
        <v>0</v>
      </c>
      <c r="V188">
        <v>0</v>
      </c>
      <c r="W188">
        <v>0</v>
      </c>
      <c r="X188" t="s">
        <v>58</v>
      </c>
    </row>
    <row r="189" customHeight="1" spans="1:24">
      <c r="A189" t="s">
        <v>252</v>
      </c>
      <c r="B189">
        <v>44</v>
      </c>
      <c r="C189">
        <v>5</v>
      </c>
      <c r="D189" t="s">
        <v>53</v>
      </c>
      <c r="E189" t="s">
        <v>54</v>
      </c>
      <c r="F189" t="s">
        <v>58</v>
      </c>
      <c r="G189">
        <v>101</v>
      </c>
      <c r="H189">
        <v>21.39</v>
      </c>
      <c r="I189">
        <v>192</v>
      </c>
      <c r="J189">
        <v>456.31</v>
      </c>
      <c r="K189">
        <v>0</v>
      </c>
      <c r="L189" t="s">
        <v>62</v>
      </c>
      <c r="M189">
        <v>1</v>
      </c>
      <c r="N189">
        <v>1</v>
      </c>
      <c r="O189">
        <v>21</v>
      </c>
      <c r="P189">
        <v>0</v>
      </c>
      <c r="Q189">
        <v>0</v>
      </c>
      <c r="R189">
        <v>1</v>
      </c>
      <c r="S189" t="s">
        <v>66</v>
      </c>
      <c r="T189">
        <v>1</v>
      </c>
      <c r="U189">
        <v>0</v>
      </c>
      <c r="V189">
        <v>0</v>
      </c>
      <c r="W189">
        <v>0</v>
      </c>
      <c r="X189" t="s">
        <v>58</v>
      </c>
    </row>
    <row r="190" customHeight="1" spans="1:24">
      <c r="A190" t="s">
        <v>253</v>
      </c>
      <c r="B190">
        <v>43</v>
      </c>
      <c r="C190">
        <v>42</v>
      </c>
      <c r="D190" t="s">
        <v>72</v>
      </c>
      <c r="E190" t="s">
        <v>54</v>
      </c>
      <c r="F190" t="s">
        <v>58</v>
      </c>
      <c r="G190">
        <v>628</v>
      </c>
      <c r="H190">
        <v>14.42</v>
      </c>
      <c r="I190">
        <v>0</v>
      </c>
      <c r="J190">
        <v>915.23</v>
      </c>
      <c r="K190">
        <v>2</v>
      </c>
      <c r="L190" t="s">
        <v>56</v>
      </c>
      <c r="M190">
        <v>0</v>
      </c>
      <c r="N190">
        <v>0</v>
      </c>
      <c r="O190">
        <v>16.8</v>
      </c>
      <c r="P190">
        <v>1</v>
      </c>
      <c r="Q190">
        <v>0</v>
      </c>
      <c r="R190">
        <v>1</v>
      </c>
      <c r="S190" t="s">
        <v>63</v>
      </c>
      <c r="T190">
        <v>0</v>
      </c>
      <c r="U190">
        <v>1</v>
      </c>
      <c r="V190">
        <v>0</v>
      </c>
      <c r="W190">
        <v>0</v>
      </c>
      <c r="X190" t="s">
        <v>58</v>
      </c>
    </row>
    <row r="191" customHeight="1" spans="1:24">
      <c r="A191" t="s">
        <v>254</v>
      </c>
      <c r="B191">
        <v>19</v>
      </c>
      <c r="C191">
        <v>20</v>
      </c>
      <c r="D191" t="s">
        <v>60</v>
      </c>
      <c r="E191" t="s">
        <v>61</v>
      </c>
      <c r="F191" t="s">
        <v>58</v>
      </c>
      <c r="G191">
        <v>20</v>
      </c>
      <c r="H191">
        <v>13.46</v>
      </c>
      <c r="I191">
        <v>93</v>
      </c>
      <c r="J191">
        <v>684.72</v>
      </c>
      <c r="K191">
        <v>1</v>
      </c>
      <c r="L191" t="s">
        <v>56</v>
      </c>
      <c r="M191">
        <v>0</v>
      </c>
      <c r="N191">
        <v>1</v>
      </c>
      <c r="O191">
        <v>43.4</v>
      </c>
      <c r="P191">
        <v>0</v>
      </c>
      <c r="Q191">
        <v>0</v>
      </c>
      <c r="R191">
        <v>0</v>
      </c>
      <c r="S191" t="s">
        <v>57</v>
      </c>
      <c r="T191">
        <v>0</v>
      </c>
      <c r="U191">
        <v>1</v>
      </c>
      <c r="V191">
        <v>0</v>
      </c>
      <c r="W191">
        <v>0</v>
      </c>
      <c r="X191" t="s">
        <v>58</v>
      </c>
    </row>
    <row r="192" customHeight="1" spans="1:24">
      <c r="A192" t="s">
        <v>255</v>
      </c>
      <c r="B192">
        <v>65</v>
      </c>
      <c r="C192">
        <v>16</v>
      </c>
      <c r="D192" t="s">
        <v>72</v>
      </c>
      <c r="E192" t="s">
        <v>69</v>
      </c>
      <c r="F192" t="s">
        <v>55</v>
      </c>
      <c r="G192">
        <v>541</v>
      </c>
      <c r="H192">
        <v>4.64</v>
      </c>
      <c r="I192">
        <v>86</v>
      </c>
      <c r="J192">
        <v>973.33</v>
      </c>
      <c r="K192">
        <v>0</v>
      </c>
      <c r="L192" t="s">
        <v>62</v>
      </c>
      <c r="M192">
        <v>2</v>
      </c>
      <c r="N192">
        <v>2</v>
      </c>
      <c r="O192">
        <v>10.8</v>
      </c>
      <c r="P192">
        <v>3</v>
      </c>
      <c r="Q192">
        <v>1</v>
      </c>
      <c r="R192">
        <v>0</v>
      </c>
      <c r="S192" t="s">
        <v>57</v>
      </c>
      <c r="T192">
        <v>1</v>
      </c>
      <c r="U192">
        <v>0</v>
      </c>
      <c r="V192">
        <v>1</v>
      </c>
      <c r="W192">
        <v>1</v>
      </c>
      <c r="X192" t="s">
        <v>58</v>
      </c>
    </row>
    <row r="193" customHeight="1" spans="1:24">
      <c r="A193" t="s">
        <v>256</v>
      </c>
      <c r="B193">
        <v>25</v>
      </c>
      <c r="C193">
        <v>4</v>
      </c>
      <c r="D193" t="s">
        <v>53</v>
      </c>
      <c r="E193" t="s">
        <v>54</v>
      </c>
      <c r="F193" t="s">
        <v>55</v>
      </c>
      <c r="G193">
        <v>399</v>
      </c>
      <c r="H193">
        <v>18.78</v>
      </c>
      <c r="I193">
        <v>187</v>
      </c>
      <c r="J193">
        <v>529.81</v>
      </c>
      <c r="K193">
        <v>0</v>
      </c>
      <c r="L193" t="s">
        <v>62</v>
      </c>
      <c r="M193">
        <v>0</v>
      </c>
      <c r="N193">
        <v>0</v>
      </c>
      <c r="O193">
        <v>32.2</v>
      </c>
      <c r="P193">
        <v>0</v>
      </c>
      <c r="Q193">
        <v>1</v>
      </c>
      <c r="R193">
        <v>0</v>
      </c>
      <c r="S193" t="s">
        <v>66</v>
      </c>
      <c r="T193">
        <v>0</v>
      </c>
      <c r="U193">
        <v>0</v>
      </c>
      <c r="V193">
        <v>0</v>
      </c>
      <c r="W193">
        <v>1</v>
      </c>
      <c r="X193" t="s">
        <v>58</v>
      </c>
    </row>
    <row r="194" customHeight="1" spans="1:24">
      <c r="A194" t="s">
        <v>257</v>
      </c>
      <c r="B194">
        <v>45</v>
      </c>
      <c r="C194">
        <v>65</v>
      </c>
      <c r="D194" t="s">
        <v>60</v>
      </c>
      <c r="E194" t="s">
        <v>61</v>
      </c>
      <c r="F194" t="s">
        <v>58</v>
      </c>
      <c r="G194">
        <v>48</v>
      </c>
      <c r="H194">
        <v>16.19</v>
      </c>
      <c r="I194">
        <v>117</v>
      </c>
      <c r="J194">
        <v>620.93</v>
      </c>
      <c r="K194">
        <v>0</v>
      </c>
      <c r="L194" t="s">
        <v>62</v>
      </c>
      <c r="M194">
        <v>1</v>
      </c>
      <c r="N194">
        <v>2</v>
      </c>
      <c r="O194">
        <v>30.3</v>
      </c>
      <c r="P194">
        <v>1</v>
      </c>
      <c r="Q194">
        <v>1</v>
      </c>
      <c r="R194">
        <v>3</v>
      </c>
      <c r="S194" t="s">
        <v>63</v>
      </c>
      <c r="T194">
        <v>1</v>
      </c>
      <c r="U194">
        <v>0</v>
      </c>
      <c r="V194">
        <v>0</v>
      </c>
      <c r="W194">
        <v>0</v>
      </c>
      <c r="X194" t="s">
        <v>58</v>
      </c>
    </row>
    <row r="195" customHeight="1" spans="1:24">
      <c r="A195" t="s">
        <v>258</v>
      </c>
      <c r="B195">
        <v>70</v>
      </c>
      <c r="C195">
        <v>31</v>
      </c>
      <c r="D195" t="s">
        <v>60</v>
      </c>
      <c r="E195" t="s">
        <v>65</v>
      </c>
      <c r="F195" t="s">
        <v>55</v>
      </c>
      <c r="G195">
        <v>467</v>
      </c>
      <c r="H195">
        <v>14.78</v>
      </c>
      <c r="I195">
        <v>246</v>
      </c>
      <c r="J195">
        <v>723.64</v>
      </c>
      <c r="K195">
        <v>2</v>
      </c>
      <c r="L195" t="s">
        <v>56</v>
      </c>
      <c r="M195">
        <v>0</v>
      </c>
      <c r="N195">
        <v>1</v>
      </c>
      <c r="O195">
        <v>5.1</v>
      </c>
      <c r="P195">
        <v>0</v>
      </c>
      <c r="Q195">
        <v>0</v>
      </c>
      <c r="R195">
        <v>1</v>
      </c>
      <c r="S195" t="s">
        <v>63</v>
      </c>
      <c r="T195">
        <v>0</v>
      </c>
      <c r="U195">
        <v>1</v>
      </c>
      <c r="V195">
        <v>0</v>
      </c>
      <c r="W195">
        <v>1</v>
      </c>
      <c r="X195" t="s">
        <v>55</v>
      </c>
    </row>
    <row r="196" customHeight="1" spans="1:24">
      <c r="A196" t="s">
        <v>259</v>
      </c>
      <c r="B196">
        <v>75</v>
      </c>
      <c r="C196">
        <v>25</v>
      </c>
      <c r="D196" t="s">
        <v>60</v>
      </c>
      <c r="E196" t="s">
        <v>61</v>
      </c>
      <c r="F196" t="s">
        <v>58</v>
      </c>
      <c r="G196">
        <v>573</v>
      </c>
      <c r="H196">
        <v>19.99</v>
      </c>
      <c r="I196">
        <v>166</v>
      </c>
      <c r="J196">
        <v>883.64</v>
      </c>
      <c r="K196">
        <v>0</v>
      </c>
      <c r="L196" t="s">
        <v>62</v>
      </c>
      <c r="M196">
        <v>0</v>
      </c>
      <c r="N196">
        <v>0</v>
      </c>
      <c r="O196">
        <v>23.7</v>
      </c>
      <c r="P196">
        <v>0</v>
      </c>
      <c r="Q196">
        <v>0</v>
      </c>
      <c r="R196">
        <v>1</v>
      </c>
      <c r="S196" t="s">
        <v>63</v>
      </c>
      <c r="T196">
        <v>0</v>
      </c>
      <c r="U196">
        <v>0</v>
      </c>
      <c r="V196">
        <v>0</v>
      </c>
      <c r="W196">
        <v>0</v>
      </c>
      <c r="X196" t="s">
        <v>58</v>
      </c>
    </row>
    <row r="197" customHeight="1" spans="1:24">
      <c r="A197" t="s">
        <v>260</v>
      </c>
      <c r="B197">
        <v>31</v>
      </c>
      <c r="C197">
        <v>54</v>
      </c>
      <c r="D197" t="s">
        <v>72</v>
      </c>
      <c r="E197" t="s">
        <v>69</v>
      </c>
      <c r="F197" t="s">
        <v>58</v>
      </c>
      <c r="G197">
        <v>455</v>
      </c>
      <c r="H197">
        <v>17.41</v>
      </c>
      <c r="I197">
        <v>91</v>
      </c>
      <c r="J197">
        <v>1079.22</v>
      </c>
      <c r="K197">
        <v>0</v>
      </c>
      <c r="L197" t="s">
        <v>62</v>
      </c>
      <c r="M197">
        <v>1</v>
      </c>
      <c r="N197">
        <v>2</v>
      </c>
      <c r="O197">
        <v>16</v>
      </c>
      <c r="P197">
        <v>0</v>
      </c>
      <c r="Q197">
        <v>2</v>
      </c>
      <c r="R197">
        <v>1</v>
      </c>
      <c r="S197" t="s">
        <v>63</v>
      </c>
      <c r="T197">
        <v>1</v>
      </c>
      <c r="U197">
        <v>0</v>
      </c>
      <c r="V197">
        <v>1</v>
      </c>
      <c r="W197">
        <v>0</v>
      </c>
      <c r="X197" t="s">
        <v>58</v>
      </c>
    </row>
    <row r="198" customHeight="1" spans="1:24">
      <c r="A198" t="s">
        <v>261</v>
      </c>
      <c r="B198">
        <v>39</v>
      </c>
      <c r="C198">
        <v>3</v>
      </c>
      <c r="D198" t="s">
        <v>72</v>
      </c>
      <c r="E198" t="s">
        <v>54</v>
      </c>
      <c r="F198" t="s">
        <v>55</v>
      </c>
      <c r="G198">
        <v>488</v>
      </c>
      <c r="H198">
        <v>25.02</v>
      </c>
      <c r="I198">
        <v>137</v>
      </c>
      <c r="J198">
        <v>1059.18</v>
      </c>
      <c r="K198">
        <v>0</v>
      </c>
      <c r="L198" t="s">
        <v>62</v>
      </c>
      <c r="M198">
        <v>0</v>
      </c>
      <c r="N198">
        <v>0</v>
      </c>
      <c r="O198">
        <v>30.8</v>
      </c>
      <c r="P198">
        <v>1</v>
      </c>
      <c r="Q198">
        <v>1</v>
      </c>
      <c r="R198">
        <v>0</v>
      </c>
      <c r="S198" t="s">
        <v>66</v>
      </c>
      <c r="T198">
        <v>0</v>
      </c>
      <c r="U198">
        <v>0</v>
      </c>
      <c r="V198">
        <v>0</v>
      </c>
      <c r="W198">
        <v>1</v>
      </c>
      <c r="X198" t="s">
        <v>55</v>
      </c>
    </row>
    <row r="199" customHeight="1" spans="1:24">
      <c r="A199" t="s">
        <v>262</v>
      </c>
      <c r="B199">
        <v>50</v>
      </c>
      <c r="C199">
        <v>41</v>
      </c>
      <c r="D199" t="s">
        <v>72</v>
      </c>
      <c r="E199" t="s">
        <v>69</v>
      </c>
      <c r="F199" t="s">
        <v>55</v>
      </c>
      <c r="G199">
        <v>338</v>
      </c>
      <c r="H199">
        <v>23.53</v>
      </c>
      <c r="I199">
        <v>95</v>
      </c>
      <c r="J199">
        <v>1377.93</v>
      </c>
      <c r="K199">
        <v>0</v>
      </c>
      <c r="L199" t="s">
        <v>62</v>
      </c>
      <c r="M199">
        <v>0</v>
      </c>
      <c r="N199">
        <v>1</v>
      </c>
      <c r="O199">
        <v>19.6</v>
      </c>
      <c r="P199">
        <v>1</v>
      </c>
      <c r="Q199">
        <v>1</v>
      </c>
      <c r="R199">
        <v>2</v>
      </c>
      <c r="S199" t="s">
        <v>63</v>
      </c>
      <c r="T199">
        <v>0</v>
      </c>
      <c r="U199">
        <v>0</v>
      </c>
      <c r="V199">
        <v>0</v>
      </c>
      <c r="W199">
        <v>1</v>
      </c>
      <c r="X199" t="s">
        <v>55</v>
      </c>
    </row>
    <row r="200" customHeight="1" spans="1:24">
      <c r="A200" t="s">
        <v>263</v>
      </c>
      <c r="B200">
        <v>58</v>
      </c>
      <c r="C200">
        <v>36</v>
      </c>
      <c r="D200" t="s">
        <v>53</v>
      </c>
      <c r="E200" t="s">
        <v>69</v>
      </c>
      <c r="F200" t="s">
        <v>58</v>
      </c>
      <c r="G200">
        <v>121</v>
      </c>
      <c r="H200">
        <v>15.59</v>
      </c>
      <c r="I200">
        <v>180</v>
      </c>
      <c r="J200">
        <v>443.85</v>
      </c>
      <c r="K200">
        <v>3</v>
      </c>
      <c r="L200" t="s">
        <v>56</v>
      </c>
      <c r="M200">
        <v>1</v>
      </c>
      <c r="N200">
        <v>2</v>
      </c>
      <c r="O200">
        <v>23</v>
      </c>
      <c r="P200">
        <v>1</v>
      </c>
      <c r="Q200">
        <v>0</v>
      </c>
      <c r="R200">
        <v>0</v>
      </c>
      <c r="S200" t="s">
        <v>63</v>
      </c>
      <c r="T200">
        <v>1</v>
      </c>
      <c r="U200">
        <v>1</v>
      </c>
      <c r="V200">
        <v>0</v>
      </c>
      <c r="W200">
        <v>0</v>
      </c>
      <c r="X200" t="s">
        <v>58</v>
      </c>
    </row>
    <row r="201" customHeight="1" spans="1:24">
      <c r="A201" t="s">
        <v>264</v>
      </c>
      <c r="B201">
        <v>32</v>
      </c>
      <c r="C201">
        <v>40</v>
      </c>
      <c r="D201" t="s">
        <v>53</v>
      </c>
      <c r="E201" t="s">
        <v>76</v>
      </c>
      <c r="F201" t="s">
        <v>58</v>
      </c>
      <c r="G201">
        <v>504</v>
      </c>
      <c r="H201">
        <v>12.33</v>
      </c>
      <c r="I201">
        <v>27</v>
      </c>
      <c r="J201">
        <v>382.14</v>
      </c>
      <c r="K201">
        <v>0</v>
      </c>
      <c r="L201" t="s">
        <v>62</v>
      </c>
      <c r="M201">
        <v>0</v>
      </c>
      <c r="N201">
        <v>0</v>
      </c>
      <c r="O201">
        <v>6.5</v>
      </c>
      <c r="P201">
        <v>3</v>
      </c>
      <c r="Q201">
        <v>4</v>
      </c>
      <c r="R201">
        <v>0</v>
      </c>
      <c r="S201" t="s">
        <v>63</v>
      </c>
      <c r="T201">
        <v>0</v>
      </c>
      <c r="U201">
        <v>0</v>
      </c>
      <c r="V201">
        <v>0</v>
      </c>
      <c r="W201">
        <v>0</v>
      </c>
      <c r="X201" t="s">
        <v>58</v>
      </c>
    </row>
    <row r="202" customHeight="1" spans="1:24">
      <c r="A202" t="s">
        <v>265</v>
      </c>
      <c r="B202">
        <v>49</v>
      </c>
      <c r="C202">
        <v>9</v>
      </c>
      <c r="D202" t="s">
        <v>60</v>
      </c>
      <c r="E202" t="s">
        <v>65</v>
      </c>
      <c r="F202" t="s">
        <v>58</v>
      </c>
      <c r="G202">
        <v>662</v>
      </c>
      <c r="H202">
        <v>17.41</v>
      </c>
      <c r="I202">
        <v>62</v>
      </c>
      <c r="J202">
        <v>685.26</v>
      </c>
      <c r="K202">
        <v>0</v>
      </c>
      <c r="L202" t="s">
        <v>62</v>
      </c>
      <c r="M202">
        <v>0</v>
      </c>
      <c r="N202">
        <v>1</v>
      </c>
      <c r="O202">
        <v>51.9</v>
      </c>
      <c r="P202">
        <v>2</v>
      </c>
      <c r="Q202">
        <v>1</v>
      </c>
      <c r="R202">
        <v>1</v>
      </c>
      <c r="S202" t="s">
        <v>57</v>
      </c>
      <c r="T202">
        <v>0</v>
      </c>
      <c r="U202">
        <v>0</v>
      </c>
      <c r="V202">
        <v>1</v>
      </c>
      <c r="W202">
        <v>0</v>
      </c>
      <c r="X202" t="s">
        <v>58</v>
      </c>
    </row>
    <row r="203" customHeight="1" spans="1:24">
      <c r="A203" t="s">
        <v>266</v>
      </c>
      <c r="B203">
        <v>66</v>
      </c>
      <c r="C203">
        <v>69</v>
      </c>
      <c r="D203" t="s">
        <v>53</v>
      </c>
      <c r="E203" t="s">
        <v>69</v>
      </c>
      <c r="F203" t="s">
        <v>55</v>
      </c>
      <c r="G203">
        <v>569</v>
      </c>
      <c r="H203">
        <v>12.07</v>
      </c>
      <c r="I203">
        <v>152</v>
      </c>
      <c r="J203">
        <v>551.29</v>
      </c>
      <c r="K203">
        <v>1</v>
      </c>
      <c r="L203" t="s">
        <v>56</v>
      </c>
      <c r="M203">
        <v>0</v>
      </c>
      <c r="N203">
        <v>1</v>
      </c>
      <c r="O203">
        <v>24.9</v>
      </c>
      <c r="P203">
        <v>1</v>
      </c>
      <c r="Q203">
        <v>1</v>
      </c>
      <c r="R203">
        <v>1</v>
      </c>
      <c r="S203" t="s">
        <v>63</v>
      </c>
      <c r="T203">
        <v>0</v>
      </c>
      <c r="U203">
        <v>1</v>
      </c>
      <c r="V203">
        <v>0</v>
      </c>
      <c r="W203">
        <v>1</v>
      </c>
      <c r="X203" t="s">
        <v>55</v>
      </c>
    </row>
    <row r="204" customHeight="1" spans="1:24">
      <c r="A204" t="s">
        <v>267</v>
      </c>
      <c r="B204">
        <v>62</v>
      </c>
      <c r="C204">
        <v>18</v>
      </c>
      <c r="D204" t="s">
        <v>60</v>
      </c>
      <c r="E204" t="s">
        <v>61</v>
      </c>
      <c r="F204" t="s">
        <v>58</v>
      </c>
      <c r="G204">
        <v>102</v>
      </c>
      <c r="H204">
        <v>18.2</v>
      </c>
      <c r="I204">
        <v>206</v>
      </c>
      <c r="J204">
        <v>1643.8575</v>
      </c>
      <c r="K204">
        <v>0</v>
      </c>
      <c r="L204" t="s">
        <v>62</v>
      </c>
      <c r="M204">
        <v>1</v>
      </c>
      <c r="N204">
        <v>1</v>
      </c>
      <c r="O204">
        <v>30</v>
      </c>
      <c r="P204">
        <v>1</v>
      </c>
      <c r="Q204">
        <v>1</v>
      </c>
      <c r="R204">
        <v>0</v>
      </c>
      <c r="S204" t="s">
        <v>57</v>
      </c>
      <c r="T204">
        <v>1</v>
      </c>
      <c r="U204">
        <v>0</v>
      </c>
      <c r="V204">
        <v>0</v>
      </c>
      <c r="W204">
        <v>0</v>
      </c>
      <c r="X204" t="s">
        <v>58</v>
      </c>
    </row>
    <row r="205" customHeight="1" spans="1:24">
      <c r="A205" t="s">
        <v>268</v>
      </c>
      <c r="B205">
        <v>65</v>
      </c>
      <c r="C205">
        <v>49</v>
      </c>
      <c r="D205" t="s">
        <v>60</v>
      </c>
      <c r="E205" t="s">
        <v>54</v>
      </c>
      <c r="F205" t="s">
        <v>55</v>
      </c>
      <c r="G205">
        <v>173</v>
      </c>
      <c r="H205">
        <v>10.14</v>
      </c>
      <c r="I205">
        <v>0</v>
      </c>
      <c r="J205">
        <v>892.31</v>
      </c>
      <c r="K205">
        <v>0</v>
      </c>
      <c r="L205" t="s">
        <v>62</v>
      </c>
      <c r="M205">
        <v>0</v>
      </c>
      <c r="N205">
        <v>1</v>
      </c>
      <c r="O205">
        <v>17.5</v>
      </c>
      <c r="P205">
        <v>2</v>
      </c>
      <c r="Q205">
        <v>0</v>
      </c>
      <c r="R205">
        <v>1</v>
      </c>
      <c r="S205" t="s">
        <v>63</v>
      </c>
      <c r="T205">
        <v>0</v>
      </c>
      <c r="U205">
        <v>0</v>
      </c>
      <c r="V205">
        <v>0</v>
      </c>
      <c r="W205">
        <v>1</v>
      </c>
      <c r="X205" t="s">
        <v>55</v>
      </c>
    </row>
    <row r="206" customHeight="1" spans="1:24">
      <c r="A206" t="s">
        <v>269</v>
      </c>
      <c r="B206">
        <v>69</v>
      </c>
      <c r="C206">
        <v>54</v>
      </c>
      <c r="D206" t="s">
        <v>60</v>
      </c>
      <c r="E206" t="s">
        <v>65</v>
      </c>
      <c r="F206" t="s">
        <v>55</v>
      </c>
      <c r="G206">
        <v>273</v>
      </c>
      <c r="H206">
        <v>18.96</v>
      </c>
      <c r="I206">
        <v>216</v>
      </c>
      <c r="J206">
        <v>710.69</v>
      </c>
      <c r="K206">
        <v>1</v>
      </c>
      <c r="L206" t="s">
        <v>56</v>
      </c>
      <c r="M206">
        <v>1</v>
      </c>
      <c r="N206">
        <v>1</v>
      </c>
      <c r="O206">
        <v>16.2</v>
      </c>
      <c r="P206">
        <v>2</v>
      </c>
      <c r="Q206">
        <v>0</v>
      </c>
      <c r="R206">
        <v>2</v>
      </c>
      <c r="S206" t="s">
        <v>63</v>
      </c>
      <c r="T206">
        <v>1</v>
      </c>
      <c r="U206">
        <v>1</v>
      </c>
      <c r="V206">
        <v>0</v>
      </c>
      <c r="W206">
        <v>1</v>
      </c>
      <c r="X206" t="s">
        <v>58</v>
      </c>
    </row>
    <row r="207" customHeight="1" spans="1:24">
      <c r="A207" t="s">
        <v>270</v>
      </c>
      <c r="B207">
        <v>67</v>
      </c>
      <c r="C207">
        <v>25</v>
      </c>
      <c r="D207" t="s">
        <v>72</v>
      </c>
      <c r="E207" t="s">
        <v>76</v>
      </c>
      <c r="F207" t="s">
        <v>55</v>
      </c>
      <c r="G207">
        <v>161</v>
      </c>
      <c r="H207">
        <v>8.35</v>
      </c>
      <c r="I207">
        <v>110</v>
      </c>
      <c r="J207">
        <v>1175.5</v>
      </c>
      <c r="K207">
        <v>1</v>
      </c>
      <c r="L207" t="s">
        <v>56</v>
      </c>
      <c r="M207">
        <v>1</v>
      </c>
      <c r="N207">
        <v>1</v>
      </c>
      <c r="O207">
        <v>47</v>
      </c>
      <c r="P207">
        <v>1</v>
      </c>
      <c r="Q207">
        <v>1</v>
      </c>
      <c r="R207">
        <v>0</v>
      </c>
      <c r="S207" t="s">
        <v>63</v>
      </c>
      <c r="T207">
        <v>1</v>
      </c>
      <c r="U207">
        <v>1</v>
      </c>
      <c r="V207">
        <v>0</v>
      </c>
      <c r="W207">
        <v>1</v>
      </c>
      <c r="X207" t="s">
        <v>55</v>
      </c>
    </row>
    <row r="208" customHeight="1" spans="1:24">
      <c r="A208" t="s">
        <v>271</v>
      </c>
      <c r="B208">
        <v>47</v>
      </c>
      <c r="C208">
        <v>10</v>
      </c>
      <c r="D208" t="s">
        <v>60</v>
      </c>
      <c r="E208" t="s">
        <v>69</v>
      </c>
      <c r="F208" t="s">
        <v>55</v>
      </c>
      <c r="G208">
        <v>407</v>
      </c>
      <c r="H208">
        <v>1.39</v>
      </c>
      <c r="I208">
        <v>0</v>
      </c>
      <c r="J208">
        <v>755.17</v>
      </c>
      <c r="K208">
        <v>1</v>
      </c>
      <c r="L208" t="s">
        <v>56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 t="s">
        <v>57</v>
      </c>
      <c r="T208">
        <v>1</v>
      </c>
      <c r="U208">
        <v>1</v>
      </c>
      <c r="V208">
        <v>1</v>
      </c>
      <c r="W208">
        <v>1</v>
      </c>
      <c r="X208" t="s">
        <v>55</v>
      </c>
    </row>
    <row r="209" customHeight="1" spans="1:24">
      <c r="A209" t="s">
        <v>272</v>
      </c>
      <c r="B209">
        <v>74</v>
      </c>
      <c r="C209">
        <v>22</v>
      </c>
      <c r="D209" t="s">
        <v>53</v>
      </c>
      <c r="E209" t="s">
        <v>69</v>
      </c>
      <c r="F209" t="s">
        <v>55</v>
      </c>
      <c r="G209">
        <v>459</v>
      </c>
      <c r="H209">
        <v>26.19</v>
      </c>
      <c r="I209">
        <v>0</v>
      </c>
      <c r="J209">
        <v>375.98</v>
      </c>
      <c r="K209">
        <v>0</v>
      </c>
      <c r="L209" t="s">
        <v>62</v>
      </c>
      <c r="M209">
        <v>0</v>
      </c>
      <c r="N209">
        <v>1</v>
      </c>
      <c r="O209">
        <v>27.3</v>
      </c>
      <c r="P209">
        <v>2</v>
      </c>
      <c r="Q209">
        <v>0</v>
      </c>
      <c r="R209">
        <v>0</v>
      </c>
      <c r="S209" t="s">
        <v>57</v>
      </c>
      <c r="T209">
        <v>0</v>
      </c>
      <c r="U209">
        <v>0</v>
      </c>
      <c r="V209">
        <v>0</v>
      </c>
      <c r="W209">
        <v>1</v>
      </c>
      <c r="X209" t="s">
        <v>55</v>
      </c>
    </row>
    <row r="210" customHeight="1" spans="1:24">
      <c r="A210" t="s">
        <v>273</v>
      </c>
      <c r="B210">
        <v>46</v>
      </c>
      <c r="C210">
        <v>59</v>
      </c>
      <c r="D210" t="s">
        <v>53</v>
      </c>
      <c r="E210" t="s">
        <v>61</v>
      </c>
      <c r="F210" t="s">
        <v>55</v>
      </c>
      <c r="G210">
        <v>185</v>
      </c>
      <c r="H210">
        <v>17.41</v>
      </c>
      <c r="I210">
        <v>13</v>
      </c>
      <c r="J210">
        <v>317.15</v>
      </c>
      <c r="K210">
        <v>0</v>
      </c>
      <c r="L210" t="s">
        <v>62</v>
      </c>
      <c r="M210">
        <v>0</v>
      </c>
      <c r="N210">
        <v>0</v>
      </c>
      <c r="O210">
        <v>9.5</v>
      </c>
      <c r="P210">
        <v>1</v>
      </c>
      <c r="Q210">
        <v>0</v>
      </c>
      <c r="R210">
        <v>1</v>
      </c>
      <c r="S210" t="s">
        <v>63</v>
      </c>
      <c r="T210">
        <v>0</v>
      </c>
      <c r="U210">
        <v>0</v>
      </c>
      <c r="V210">
        <v>1</v>
      </c>
      <c r="W210">
        <v>1</v>
      </c>
      <c r="X210" t="s">
        <v>55</v>
      </c>
    </row>
    <row r="211" customHeight="1" spans="1:24">
      <c r="A211" t="s">
        <v>274</v>
      </c>
      <c r="B211">
        <v>59</v>
      </c>
      <c r="C211">
        <v>66</v>
      </c>
      <c r="D211" t="s">
        <v>60</v>
      </c>
      <c r="E211" t="s">
        <v>69</v>
      </c>
      <c r="F211" t="s">
        <v>58</v>
      </c>
      <c r="G211">
        <v>517</v>
      </c>
      <c r="H211">
        <v>9.63</v>
      </c>
      <c r="I211">
        <v>119</v>
      </c>
      <c r="J211">
        <v>835.32</v>
      </c>
      <c r="K211">
        <v>0</v>
      </c>
      <c r="L211" t="s">
        <v>62</v>
      </c>
      <c r="M211">
        <v>1</v>
      </c>
      <c r="N211">
        <v>1</v>
      </c>
      <c r="O211">
        <v>19.1</v>
      </c>
      <c r="P211">
        <v>2</v>
      </c>
      <c r="Q211">
        <v>1</v>
      </c>
      <c r="R211">
        <v>0</v>
      </c>
      <c r="S211" t="s">
        <v>63</v>
      </c>
      <c r="T211">
        <v>1</v>
      </c>
      <c r="U211">
        <v>0</v>
      </c>
      <c r="V211">
        <v>0</v>
      </c>
      <c r="W211">
        <v>0</v>
      </c>
      <c r="X211" t="s">
        <v>58</v>
      </c>
    </row>
    <row r="212" customHeight="1" spans="1:24">
      <c r="A212" t="s">
        <v>275</v>
      </c>
      <c r="B212">
        <v>72</v>
      </c>
      <c r="C212">
        <v>68</v>
      </c>
      <c r="D212" t="s">
        <v>60</v>
      </c>
      <c r="E212" t="s">
        <v>54</v>
      </c>
      <c r="F212" t="s">
        <v>58</v>
      </c>
      <c r="G212">
        <v>490</v>
      </c>
      <c r="H212">
        <v>7.06</v>
      </c>
      <c r="I212">
        <v>115</v>
      </c>
      <c r="J212">
        <v>821.91</v>
      </c>
      <c r="K212">
        <v>0</v>
      </c>
      <c r="L212" t="s">
        <v>62</v>
      </c>
      <c r="M212">
        <v>2</v>
      </c>
      <c r="N212">
        <v>2</v>
      </c>
      <c r="O212">
        <v>16.3</v>
      </c>
      <c r="P212">
        <v>1</v>
      </c>
      <c r="Q212">
        <v>0</v>
      </c>
      <c r="R212">
        <v>0</v>
      </c>
      <c r="S212" t="s">
        <v>63</v>
      </c>
      <c r="T212">
        <v>1</v>
      </c>
      <c r="U212">
        <v>0</v>
      </c>
      <c r="V212">
        <v>0</v>
      </c>
      <c r="W212">
        <v>0</v>
      </c>
      <c r="X212" t="s">
        <v>58</v>
      </c>
    </row>
    <row r="213" customHeight="1" spans="1:24">
      <c r="A213" t="s">
        <v>276</v>
      </c>
      <c r="B213">
        <v>20</v>
      </c>
      <c r="C213">
        <v>17</v>
      </c>
      <c r="D213" t="s">
        <v>53</v>
      </c>
      <c r="E213" t="s">
        <v>69</v>
      </c>
      <c r="F213" t="s">
        <v>58</v>
      </c>
      <c r="G213">
        <v>318</v>
      </c>
      <c r="H213">
        <v>22.23</v>
      </c>
      <c r="I213">
        <v>164</v>
      </c>
      <c r="J213">
        <v>448.55</v>
      </c>
      <c r="K213">
        <v>1</v>
      </c>
      <c r="L213" t="s">
        <v>56</v>
      </c>
      <c r="M213">
        <v>0</v>
      </c>
      <c r="N213">
        <v>0</v>
      </c>
      <c r="O213">
        <v>12.2</v>
      </c>
      <c r="P213">
        <v>2</v>
      </c>
      <c r="Q213">
        <v>0</v>
      </c>
      <c r="R213">
        <v>0</v>
      </c>
      <c r="S213" t="s">
        <v>57</v>
      </c>
      <c r="T213">
        <v>0</v>
      </c>
      <c r="U213">
        <v>1</v>
      </c>
      <c r="V213">
        <v>0</v>
      </c>
      <c r="W213">
        <v>0</v>
      </c>
      <c r="X213" t="s">
        <v>58</v>
      </c>
    </row>
    <row r="214" customHeight="1" spans="1:24">
      <c r="A214" t="s">
        <v>277</v>
      </c>
      <c r="B214">
        <v>72</v>
      </c>
      <c r="C214">
        <v>44</v>
      </c>
      <c r="D214" t="s">
        <v>60</v>
      </c>
      <c r="E214" t="s">
        <v>76</v>
      </c>
      <c r="F214" t="s">
        <v>58</v>
      </c>
      <c r="G214">
        <v>374</v>
      </c>
      <c r="H214">
        <v>31.75</v>
      </c>
      <c r="I214">
        <v>82</v>
      </c>
      <c r="J214">
        <v>784.79</v>
      </c>
      <c r="K214">
        <v>0</v>
      </c>
      <c r="L214" t="s">
        <v>62</v>
      </c>
      <c r="M214">
        <v>0</v>
      </c>
      <c r="N214">
        <v>0</v>
      </c>
      <c r="O214">
        <v>24.4</v>
      </c>
      <c r="P214">
        <v>2</v>
      </c>
      <c r="Q214">
        <v>0</v>
      </c>
      <c r="R214">
        <v>1</v>
      </c>
      <c r="S214" t="s">
        <v>63</v>
      </c>
      <c r="T214">
        <v>0</v>
      </c>
      <c r="U214">
        <v>0</v>
      </c>
      <c r="V214">
        <v>0</v>
      </c>
      <c r="W214">
        <v>0</v>
      </c>
      <c r="X214" t="s">
        <v>58</v>
      </c>
    </row>
    <row r="215" customHeight="1" spans="1:24">
      <c r="A215" t="s">
        <v>278</v>
      </c>
      <c r="B215">
        <v>65</v>
      </c>
      <c r="C215">
        <v>11</v>
      </c>
      <c r="D215" t="s">
        <v>72</v>
      </c>
      <c r="E215" t="s">
        <v>54</v>
      </c>
      <c r="F215" t="s">
        <v>58</v>
      </c>
      <c r="G215">
        <v>108</v>
      </c>
      <c r="H215">
        <v>13.97</v>
      </c>
      <c r="I215">
        <v>42</v>
      </c>
      <c r="J215">
        <v>1019.86</v>
      </c>
      <c r="K215">
        <v>1</v>
      </c>
      <c r="L215" t="s">
        <v>56</v>
      </c>
      <c r="M215">
        <v>2</v>
      </c>
      <c r="N215">
        <v>3</v>
      </c>
      <c r="O215">
        <v>1</v>
      </c>
      <c r="P215">
        <v>2</v>
      </c>
      <c r="Q215">
        <v>0</v>
      </c>
      <c r="R215">
        <v>0</v>
      </c>
      <c r="S215" t="s">
        <v>57</v>
      </c>
      <c r="T215">
        <v>1</v>
      </c>
      <c r="U215">
        <v>1</v>
      </c>
      <c r="V215">
        <v>0</v>
      </c>
      <c r="W215">
        <v>0</v>
      </c>
      <c r="X215" t="s">
        <v>55</v>
      </c>
    </row>
    <row r="216" customHeight="1" spans="1:24">
      <c r="A216" t="s">
        <v>279</v>
      </c>
      <c r="B216">
        <v>75</v>
      </c>
      <c r="C216">
        <v>52</v>
      </c>
      <c r="D216" t="s">
        <v>72</v>
      </c>
      <c r="E216" t="s">
        <v>76</v>
      </c>
      <c r="F216" t="s">
        <v>58</v>
      </c>
      <c r="G216">
        <v>350</v>
      </c>
      <c r="H216">
        <v>15.84</v>
      </c>
      <c r="I216">
        <v>91</v>
      </c>
      <c r="J216">
        <v>1160.57</v>
      </c>
      <c r="K216">
        <v>0</v>
      </c>
      <c r="L216" t="s">
        <v>62</v>
      </c>
      <c r="M216">
        <v>0</v>
      </c>
      <c r="N216">
        <v>0</v>
      </c>
      <c r="O216">
        <v>20.2</v>
      </c>
      <c r="P216">
        <v>0</v>
      </c>
      <c r="Q216">
        <v>0</v>
      </c>
      <c r="R216">
        <v>0</v>
      </c>
      <c r="S216" t="s">
        <v>63</v>
      </c>
      <c r="T216">
        <v>0</v>
      </c>
      <c r="U216">
        <v>0</v>
      </c>
      <c r="V216">
        <v>0</v>
      </c>
      <c r="W216">
        <v>0</v>
      </c>
      <c r="X216" t="s">
        <v>58</v>
      </c>
    </row>
    <row r="217" customHeight="1" spans="1:24">
      <c r="A217" t="s">
        <v>280</v>
      </c>
      <c r="B217">
        <v>62</v>
      </c>
      <c r="C217">
        <v>30</v>
      </c>
      <c r="D217" t="s">
        <v>60</v>
      </c>
      <c r="E217" t="s">
        <v>69</v>
      </c>
      <c r="F217" t="s">
        <v>58</v>
      </c>
      <c r="G217">
        <v>401</v>
      </c>
      <c r="H217">
        <v>28.72</v>
      </c>
      <c r="I217">
        <v>122</v>
      </c>
      <c r="J217">
        <v>659.31</v>
      </c>
      <c r="K217">
        <v>0</v>
      </c>
      <c r="L217" t="s">
        <v>62</v>
      </c>
      <c r="M217">
        <v>1</v>
      </c>
      <c r="N217">
        <v>1</v>
      </c>
      <c r="O217">
        <v>22.9</v>
      </c>
      <c r="P217">
        <v>0</v>
      </c>
      <c r="Q217">
        <v>0</v>
      </c>
      <c r="R217">
        <v>0</v>
      </c>
      <c r="S217" t="s">
        <v>63</v>
      </c>
      <c r="T217">
        <v>1</v>
      </c>
      <c r="U217">
        <v>0</v>
      </c>
      <c r="V217">
        <v>0</v>
      </c>
      <c r="W217">
        <v>0</v>
      </c>
      <c r="X217" t="s">
        <v>58</v>
      </c>
    </row>
    <row r="218" customHeight="1" spans="1:24">
      <c r="A218" t="s">
        <v>281</v>
      </c>
      <c r="B218">
        <v>27</v>
      </c>
      <c r="C218">
        <v>52</v>
      </c>
      <c r="D218" t="s">
        <v>60</v>
      </c>
      <c r="E218" t="s">
        <v>54</v>
      </c>
      <c r="F218" t="s">
        <v>58</v>
      </c>
      <c r="G218">
        <v>425</v>
      </c>
      <c r="H218">
        <v>17.41</v>
      </c>
      <c r="I218">
        <v>136</v>
      </c>
      <c r="J218">
        <v>750.43</v>
      </c>
      <c r="K218">
        <v>0</v>
      </c>
      <c r="L218" t="s">
        <v>62</v>
      </c>
      <c r="M218">
        <v>0</v>
      </c>
      <c r="N218">
        <v>0</v>
      </c>
      <c r="O218">
        <v>7.7</v>
      </c>
      <c r="P218">
        <v>1</v>
      </c>
      <c r="Q218">
        <v>0</v>
      </c>
      <c r="R218">
        <v>0</v>
      </c>
      <c r="S218" t="s">
        <v>63</v>
      </c>
      <c r="T218">
        <v>0</v>
      </c>
      <c r="U218">
        <v>0</v>
      </c>
      <c r="V218">
        <v>1</v>
      </c>
      <c r="W218">
        <v>0</v>
      </c>
      <c r="X218" t="s">
        <v>58</v>
      </c>
    </row>
    <row r="219" customHeight="1" spans="1:24">
      <c r="A219" t="s">
        <v>282</v>
      </c>
      <c r="B219">
        <v>35</v>
      </c>
      <c r="C219">
        <v>50</v>
      </c>
      <c r="D219" t="s">
        <v>53</v>
      </c>
      <c r="E219" t="s">
        <v>54</v>
      </c>
      <c r="F219" t="s">
        <v>58</v>
      </c>
      <c r="G219">
        <v>457</v>
      </c>
      <c r="H219">
        <v>37.67</v>
      </c>
      <c r="I219">
        <v>65</v>
      </c>
      <c r="J219">
        <v>379.42</v>
      </c>
      <c r="K219">
        <v>0</v>
      </c>
      <c r="L219" t="s">
        <v>62</v>
      </c>
      <c r="M219">
        <v>0</v>
      </c>
      <c r="N219">
        <v>0</v>
      </c>
      <c r="O219">
        <v>42.2</v>
      </c>
      <c r="P219">
        <v>0</v>
      </c>
      <c r="Q219">
        <v>0</v>
      </c>
      <c r="R219">
        <v>1</v>
      </c>
      <c r="S219" t="s">
        <v>63</v>
      </c>
      <c r="T219">
        <v>0</v>
      </c>
      <c r="U219">
        <v>0</v>
      </c>
      <c r="V219">
        <v>0</v>
      </c>
      <c r="W219">
        <v>0</v>
      </c>
      <c r="X219" t="s">
        <v>58</v>
      </c>
    </row>
    <row r="220" customHeight="1" spans="1:24">
      <c r="A220" t="s">
        <v>283</v>
      </c>
      <c r="B220">
        <v>18</v>
      </c>
      <c r="C220">
        <v>72</v>
      </c>
      <c r="D220" t="s">
        <v>60</v>
      </c>
      <c r="E220" t="s">
        <v>54</v>
      </c>
      <c r="F220" t="s">
        <v>55</v>
      </c>
      <c r="G220">
        <v>437</v>
      </c>
      <c r="H220">
        <v>42.44</v>
      </c>
      <c r="I220">
        <v>183</v>
      </c>
      <c r="J220">
        <v>790.24</v>
      </c>
      <c r="K220">
        <v>1</v>
      </c>
      <c r="L220" t="s">
        <v>56</v>
      </c>
      <c r="M220">
        <v>0</v>
      </c>
      <c r="N220">
        <v>0</v>
      </c>
      <c r="O220">
        <v>16.9</v>
      </c>
      <c r="P220">
        <v>0</v>
      </c>
      <c r="Q220">
        <v>1</v>
      </c>
      <c r="R220">
        <v>0</v>
      </c>
      <c r="S220" t="s">
        <v>63</v>
      </c>
      <c r="T220">
        <v>0</v>
      </c>
      <c r="U220">
        <v>1</v>
      </c>
      <c r="V220">
        <v>0</v>
      </c>
      <c r="W220">
        <v>1</v>
      </c>
      <c r="X220" t="s">
        <v>55</v>
      </c>
    </row>
    <row r="221" customHeight="1" spans="1:24">
      <c r="A221" t="s">
        <v>284</v>
      </c>
      <c r="B221">
        <v>53</v>
      </c>
      <c r="C221">
        <v>36</v>
      </c>
      <c r="D221" t="s">
        <v>53</v>
      </c>
      <c r="E221" t="s">
        <v>69</v>
      </c>
      <c r="F221" t="s">
        <v>58</v>
      </c>
      <c r="G221">
        <v>360</v>
      </c>
      <c r="H221">
        <v>0.5</v>
      </c>
      <c r="I221">
        <v>77</v>
      </c>
      <c r="J221">
        <v>425.68</v>
      </c>
      <c r="K221">
        <v>0</v>
      </c>
      <c r="L221" t="s">
        <v>62</v>
      </c>
      <c r="M221">
        <v>2</v>
      </c>
      <c r="N221">
        <v>4</v>
      </c>
      <c r="O221">
        <v>21.2</v>
      </c>
      <c r="P221">
        <v>0</v>
      </c>
      <c r="Q221">
        <v>1</v>
      </c>
      <c r="R221">
        <v>0</v>
      </c>
      <c r="S221" t="s">
        <v>63</v>
      </c>
      <c r="T221">
        <v>1</v>
      </c>
      <c r="U221">
        <v>0</v>
      </c>
      <c r="V221">
        <v>1</v>
      </c>
      <c r="W221">
        <v>0</v>
      </c>
      <c r="X221" t="s">
        <v>58</v>
      </c>
    </row>
    <row r="222" customHeight="1" spans="1:24">
      <c r="A222" t="s">
        <v>285</v>
      </c>
      <c r="B222">
        <v>43</v>
      </c>
      <c r="C222">
        <v>25</v>
      </c>
      <c r="D222" t="s">
        <v>60</v>
      </c>
      <c r="E222" t="s">
        <v>69</v>
      </c>
      <c r="F222" t="s">
        <v>58</v>
      </c>
      <c r="G222">
        <v>443</v>
      </c>
      <c r="H222">
        <v>17.02</v>
      </c>
      <c r="I222">
        <v>59</v>
      </c>
      <c r="J222">
        <v>781.47</v>
      </c>
      <c r="K222">
        <v>0</v>
      </c>
      <c r="L222" t="s">
        <v>62</v>
      </c>
      <c r="M222">
        <v>0</v>
      </c>
      <c r="N222">
        <v>0</v>
      </c>
      <c r="O222">
        <v>16.9</v>
      </c>
      <c r="P222">
        <v>1</v>
      </c>
      <c r="Q222">
        <v>1</v>
      </c>
      <c r="R222">
        <v>1</v>
      </c>
      <c r="S222" t="s">
        <v>63</v>
      </c>
      <c r="T222">
        <v>0</v>
      </c>
      <c r="U222">
        <v>0</v>
      </c>
      <c r="V222">
        <v>0</v>
      </c>
      <c r="W222">
        <v>0</v>
      </c>
      <c r="X222" t="s">
        <v>58</v>
      </c>
    </row>
    <row r="223" customHeight="1" spans="1:24">
      <c r="A223" t="s">
        <v>286</v>
      </c>
      <c r="B223">
        <v>45</v>
      </c>
      <c r="C223">
        <v>38</v>
      </c>
      <c r="D223" t="s">
        <v>60</v>
      </c>
      <c r="E223" t="s">
        <v>65</v>
      </c>
      <c r="F223" t="s">
        <v>58</v>
      </c>
      <c r="G223">
        <v>550</v>
      </c>
      <c r="H223">
        <v>10.81</v>
      </c>
      <c r="I223">
        <v>82</v>
      </c>
      <c r="J223">
        <v>733.12</v>
      </c>
      <c r="K223">
        <v>0</v>
      </c>
      <c r="L223" t="s">
        <v>62</v>
      </c>
      <c r="M223">
        <v>1</v>
      </c>
      <c r="N223">
        <v>3</v>
      </c>
      <c r="O223">
        <v>23</v>
      </c>
      <c r="P223">
        <v>0</v>
      </c>
      <c r="Q223">
        <v>3</v>
      </c>
      <c r="R223">
        <v>0</v>
      </c>
      <c r="S223" t="s">
        <v>63</v>
      </c>
      <c r="T223">
        <v>1</v>
      </c>
      <c r="U223">
        <v>0</v>
      </c>
      <c r="V223">
        <v>0</v>
      </c>
      <c r="W223">
        <v>0</v>
      </c>
      <c r="X223" t="s">
        <v>58</v>
      </c>
    </row>
    <row r="224" customHeight="1" spans="1:24">
      <c r="A224" t="s">
        <v>287</v>
      </c>
      <c r="B224">
        <v>60</v>
      </c>
      <c r="C224">
        <v>12</v>
      </c>
      <c r="D224" t="s">
        <v>53</v>
      </c>
      <c r="E224" t="s">
        <v>61</v>
      </c>
      <c r="F224" t="s">
        <v>58</v>
      </c>
      <c r="G224">
        <v>386</v>
      </c>
      <c r="H224">
        <v>15.35</v>
      </c>
      <c r="I224">
        <v>195</v>
      </c>
      <c r="J224">
        <v>458.32</v>
      </c>
      <c r="K224">
        <v>0</v>
      </c>
      <c r="L224" t="s">
        <v>62</v>
      </c>
      <c r="M224">
        <v>0</v>
      </c>
      <c r="N224">
        <v>1</v>
      </c>
      <c r="O224">
        <v>39.7</v>
      </c>
      <c r="P224">
        <v>2</v>
      </c>
      <c r="Q224">
        <v>0</v>
      </c>
      <c r="R224">
        <v>1</v>
      </c>
      <c r="S224" t="s">
        <v>57</v>
      </c>
      <c r="T224">
        <v>0</v>
      </c>
      <c r="U224">
        <v>0</v>
      </c>
      <c r="V224">
        <v>0</v>
      </c>
      <c r="W224">
        <v>0</v>
      </c>
      <c r="X224" t="s">
        <v>58</v>
      </c>
    </row>
    <row r="225" customHeight="1" spans="1:24">
      <c r="A225" t="s">
        <v>288</v>
      </c>
      <c r="B225">
        <v>65</v>
      </c>
      <c r="C225">
        <v>9</v>
      </c>
      <c r="D225" t="s">
        <v>53</v>
      </c>
      <c r="E225" t="s">
        <v>61</v>
      </c>
      <c r="F225" t="s">
        <v>58</v>
      </c>
      <c r="G225">
        <v>448</v>
      </c>
      <c r="H225">
        <v>13.82</v>
      </c>
      <c r="I225">
        <v>111</v>
      </c>
      <c r="J225">
        <v>422.03</v>
      </c>
      <c r="K225">
        <v>1</v>
      </c>
      <c r="L225" t="s">
        <v>56</v>
      </c>
      <c r="M225">
        <v>0</v>
      </c>
      <c r="N225">
        <v>1</v>
      </c>
      <c r="O225">
        <v>53.7</v>
      </c>
      <c r="P225">
        <v>1</v>
      </c>
      <c r="Q225">
        <v>2</v>
      </c>
      <c r="R225">
        <v>1</v>
      </c>
      <c r="S225" t="s">
        <v>57</v>
      </c>
      <c r="T225">
        <v>0</v>
      </c>
      <c r="U225">
        <v>1</v>
      </c>
      <c r="V225">
        <v>0</v>
      </c>
      <c r="W225">
        <v>0</v>
      </c>
      <c r="X225" t="s">
        <v>58</v>
      </c>
    </row>
    <row r="226" customHeight="1" spans="1:24">
      <c r="A226" t="s">
        <v>289</v>
      </c>
      <c r="B226">
        <v>22</v>
      </c>
      <c r="C226">
        <v>38</v>
      </c>
      <c r="D226" t="s">
        <v>53</v>
      </c>
      <c r="E226" t="s">
        <v>76</v>
      </c>
      <c r="F226" t="s">
        <v>55</v>
      </c>
      <c r="G226">
        <v>372</v>
      </c>
      <c r="H226">
        <v>26.12</v>
      </c>
      <c r="I226">
        <v>71</v>
      </c>
      <c r="J226">
        <v>431</v>
      </c>
      <c r="K226">
        <v>1</v>
      </c>
      <c r="L226" t="s">
        <v>56</v>
      </c>
      <c r="M226">
        <v>2</v>
      </c>
      <c r="N226">
        <v>2</v>
      </c>
      <c r="O226">
        <v>32.9</v>
      </c>
      <c r="P226">
        <v>1</v>
      </c>
      <c r="Q226">
        <v>0</v>
      </c>
      <c r="R226">
        <v>1</v>
      </c>
      <c r="S226" t="s">
        <v>63</v>
      </c>
      <c r="T226">
        <v>1</v>
      </c>
      <c r="U226">
        <v>1</v>
      </c>
      <c r="V226">
        <v>0</v>
      </c>
      <c r="W226">
        <v>1</v>
      </c>
      <c r="X226" t="s">
        <v>55</v>
      </c>
    </row>
    <row r="227" customHeight="1" spans="1:24">
      <c r="A227" t="s">
        <v>290</v>
      </c>
      <c r="B227">
        <v>71</v>
      </c>
      <c r="C227">
        <v>60</v>
      </c>
      <c r="D227" t="s">
        <v>72</v>
      </c>
      <c r="E227" t="s">
        <v>54</v>
      </c>
      <c r="F227" t="s">
        <v>55</v>
      </c>
      <c r="G227">
        <v>303</v>
      </c>
      <c r="H227">
        <v>16.87</v>
      </c>
      <c r="I227">
        <v>185</v>
      </c>
      <c r="J227">
        <v>1427.93</v>
      </c>
      <c r="K227">
        <v>1</v>
      </c>
      <c r="L227" t="s">
        <v>56</v>
      </c>
      <c r="M227">
        <v>0</v>
      </c>
      <c r="N227">
        <v>0</v>
      </c>
      <c r="O227">
        <v>37.1</v>
      </c>
      <c r="P227">
        <v>1</v>
      </c>
      <c r="Q227">
        <v>1</v>
      </c>
      <c r="R227">
        <v>0</v>
      </c>
      <c r="S227" t="s">
        <v>63</v>
      </c>
      <c r="T227">
        <v>0</v>
      </c>
      <c r="U227">
        <v>1</v>
      </c>
      <c r="V227">
        <v>0</v>
      </c>
      <c r="W227">
        <v>1</v>
      </c>
      <c r="X227" t="s">
        <v>55</v>
      </c>
    </row>
    <row r="228" customHeight="1" spans="1:24">
      <c r="A228" t="s">
        <v>291</v>
      </c>
      <c r="B228">
        <v>39</v>
      </c>
      <c r="C228">
        <v>39</v>
      </c>
      <c r="D228" t="s">
        <v>60</v>
      </c>
      <c r="E228" t="s">
        <v>65</v>
      </c>
      <c r="F228" t="s">
        <v>58</v>
      </c>
      <c r="G228">
        <v>478</v>
      </c>
      <c r="H228">
        <v>17.41</v>
      </c>
      <c r="I228">
        <v>270</v>
      </c>
      <c r="J228">
        <v>763.69</v>
      </c>
      <c r="K228">
        <v>0</v>
      </c>
      <c r="L228" t="s">
        <v>62</v>
      </c>
      <c r="M228">
        <v>1</v>
      </c>
      <c r="N228">
        <v>1</v>
      </c>
      <c r="O228">
        <v>44.6</v>
      </c>
      <c r="P228">
        <v>1</v>
      </c>
      <c r="Q228">
        <v>1</v>
      </c>
      <c r="R228">
        <v>1</v>
      </c>
      <c r="S228" t="s">
        <v>63</v>
      </c>
      <c r="T228">
        <v>1</v>
      </c>
      <c r="U228">
        <v>0</v>
      </c>
      <c r="V228">
        <v>1</v>
      </c>
      <c r="W228">
        <v>0</v>
      </c>
      <c r="X228" t="s">
        <v>58</v>
      </c>
    </row>
    <row r="229" customHeight="1" spans="1:24">
      <c r="A229" t="s">
        <v>292</v>
      </c>
      <c r="B229">
        <v>61</v>
      </c>
      <c r="C229">
        <v>57</v>
      </c>
      <c r="D229" t="s">
        <v>53</v>
      </c>
      <c r="E229" t="s">
        <v>61</v>
      </c>
      <c r="F229" t="s">
        <v>58</v>
      </c>
      <c r="G229">
        <v>317</v>
      </c>
      <c r="H229">
        <v>16.28</v>
      </c>
      <c r="I229">
        <v>135</v>
      </c>
      <c r="J229">
        <v>498.37</v>
      </c>
      <c r="K229">
        <v>0</v>
      </c>
      <c r="L229" t="s">
        <v>62</v>
      </c>
      <c r="M229">
        <v>0</v>
      </c>
      <c r="N229">
        <v>0</v>
      </c>
      <c r="O229">
        <v>23.7</v>
      </c>
      <c r="P229">
        <v>1</v>
      </c>
      <c r="Q229">
        <v>1</v>
      </c>
      <c r="R229">
        <v>0</v>
      </c>
      <c r="S229" t="s">
        <v>63</v>
      </c>
      <c r="T229">
        <v>0</v>
      </c>
      <c r="U229">
        <v>0</v>
      </c>
      <c r="V229">
        <v>0</v>
      </c>
      <c r="W229">
        <v>0</v>
      </c>
      <c r="X229" t="s">
        <v>58</v>
      </c>
    </row>
    <row r="230" customHeight="1" spans="1:24">
      <c r="A230" t="s">
        <v>293</v>
      </c>
      <c r="B230">
        <v>51</v>
      </c>
      <c r="C230">
        <v>13</v>
      </c>
      <c r="D230" t="s">
        <v>72</v>
      </c>
      <c r="E230" t="s">
        <v>65</v>
      </c>
      <c r="F230" t="s">
        <v>58</v>
      </c>
      <c r="G230">
        <v>458</v>
      </c>
      <c r="H230">
        <v>23.15</v>
      </c>
      <c r="I230">
        <v>206</v>
      </c>
      <c r="J230">
        <v>1083.08</v>
      </c>
      <c r="K230">
        <v>0</v>
      </c>
      <c r="L230" t="s">
        <v>62</v>
      </c>
      <c r="M230">
        <v>0</v>
      </c>
      <c r="N230">
        <v>1</v>
      </c>
      <c r="O230">
        <v>42.8</v>
      </c>
      <c r="P230">
        <v>0</v>
      </c>
      <c r="Q230">
        <v>1</v>
      </c>
      <c r="R230">
        <v>0</v>
      </c>
      <c r="S230" t="s">
        <v>57</v>
      </c>
      <c r="T230">
        <v>0</v>
      </c>
      <c r="U230">
        <v>0</v>
      </c>
      <c r="V230">
        <v>0</v>
      </c>
      <c r="W230">
        <v>0</v>
      </c>
      <c r="X230" t="s">
        <v>58</v>
      </c>
    </row>
    <row r="231" customHeight="1" spans="1:24">
      <c r="A231" t="s">
        <v>294</v>
      </c>
      <c r="B231">
        <v>43</v>
      </c>
      <c r="C231">
        <v>33</v>
      </c>
      <c r="D231" t="s">
        <v>60</v>
      </c>
      <c r="E231" t="s">
        <v>69</v>
      </c>
      <c r="F231" t="s">
        <v>58</v>
      </c>
      <c r="G231">
        <v>404</v>
      </c>
      <c r="H231">
        <v>6.16</v>
      </c>
      <c r="I231">
        <v>193</v>
      </c>
      <c r="J231">
        <v>806.72</v>
      </c>
      <c r="K231">
        <v>2</v>
      </c>
      <c r="L231" t="s">
        <v>56</v>
      </c>
      <c r="M231">
        <v>0</v>
      </c>
      <c r="N231">
        <v>0</v>
      </c>
      <c r="O231">
        <v>33.5</v>
      </c>
      <c r="P231">
        <v>1</v>
      </c>
      <c r="Q231">
        <v>1</v>
      </c>
      <c r="R231">
        <v>0</v>
      </c>
      <c r="S231" t="s">
        <v>63</v>
      </c>
      <c r="T231">
        <v>0</v>
      </c>
      <c r="U231">
        <v>1</v>
      </c>
      <c r="V231">
        <v>0</v>
      </c>
      <c r="W231">
        <v>0</v>
      </c>
      <c r="X231" t="s">
        <v>58</v>
      </c>
    </row>
    <row r="232" customHeight="1" spans="1:24">
      <c r="A232" t="s">
        <v>295</v>
      </c>
      <c r="B232">
        <v>30</v>
      </c>
      <c r="C232">
        <v>45</v>
      </c>
      <c r="D232" t="s">
        <v>60</v>
      </c>
      <c r="E232" t="s">
        <v>76</v>
      </c>
      <c r="F232" t="s">
        <v>58</v>
      </c>
      <c r="G232">
        <v>354</v>
      </c>
      <c r="H232">
        <v>1.54</v>
      </c>
      <c r="I232">
        <v>78</v>
      </c>
      <c r="J232">
        <v>556.74</v>
      </c>
      <c r="K232">
        <v>0</v>
      </c>
      <c r="L232" t="s">
        <v>62</v>
      </c>
      <c r="M232">
        <v>0</v>
      </c>
      <c r="N232">
        <v>1</v>
      </c>
      <c r="O232">
        <v>25.7</v>
      </c>
      <c r="P232">
        <v>0</v>
      </c>
      <c r="Q232">
        <v>0</v>
      </c>
      <c r="R232">
        <v>0</v>
      </c>
      <c r="S232" t="s">
        <v>63</v>
      </c>
      <c r="T232">
        <v>0</v>
      </c>
      <c r="U232">
        <v>0</v>
      </c>
      <c r="V232">
        <v>1</v>
      </c>
      <c r="W232">
        <v>0</v>
      </c>
      <c r="X232" t="s">
        <v>58</v>
      </c>
    </row>
    <row r="233" customHeight="1" spans="1:24">
      <c r="A233" t="s">
        <v>296</v>
      </c>
      <c r="B233">
        <v>28</v>
      </c>
      <c r="C233">
        <v>26</v>
      </c>
      <c r="D233" t="s">
        <v>72</v>
      </c>
      <c r="E233" t="s">
        <v>54</v>
      </c>
      <c r="F233" t="s">
        <v>58</v>
      </c>
      <c r="G233">
        <v>351</v>
      </c>
      <c r="H233">
        <v>37.93</v>
      </c>
      <c r="I233">
        <v>122</v>
      </c>
      <c r="J233">
        <v>1191.32</v>
      </c>
      <c r="K233">
        <v>0</v>
      </c>
      <c r="L233" t="s">
        <v>62</v>
      </c>
      <c r="M233">
        <v>0</v>
      </c>
      <c r="N233">
        <v>1</v>
      </c>
      <c r="O233">
        <v>28.2</v>
      </c>
      <c r="P233">
        <v>0</v>
      </c>
      <c r="Q233">
        <v>0</v>
      </c>
      <c r="R233">
        <v>1</v>
      </c>
      <c r="S233" t="s">
        <v>63</v>
      </c>
      <c r="T233">
        <v>0</v>
      </c>
      <c r="U233">
        <v>0</v>
      </c>
      <c r="V233">
        <v>0</v>
      </c>
      <c r="W233">
        <v>0</v>
      </c>
      <c r="X233" t="s">
        <v>58</v>
      </c>
    </row>
    <row r="234" customHeight="1" spans="1:24">
      <c r="A234" t="s">
        <v>297</v>
      </c>
      <c r="B234">
        <v>60</v>
      </c>
      <c r="C234">
        <v>2</v>
      </c>
      <c r="D234" t="s">
        <v>53</v>
      </c>
      <c r="E234" t="s">
        <v>69</v>
      </c>
      <c r="F234" t="s">
        <v>55</v>
      </c>
      <c r="G234">
        <v>324</v>
      </c>
      <c r="H234">
        <v>11.58</v>
      </c>
      <c r="I234">
        <v>30</v>
      </c>
      <c r="J234">
        <v>475.58</v>
      </c>
      <c r="K234">
        <v>1</v>
      </c>
      <c r="L234" t="s">
        <v>56</v>
      </c>
      <c r="M234">
        <v>1</v>
      </c>
      <c r="N234">
        <v>1</v>
      </c>
      <c r="O234">
        <v>2.1</v>
      </c>
      <c r="P234">
        <v>1</v>
      </c>
      <c r="Q234">
        <v>0</v>
      </c>
      <c r="R234">
        <v>0</v>
      </c>
      <c r="S234" t="s">
        <v>66</v>
      </c>
      <c r="T234">
        <v>1</v>
      </c>
      <c r="U234">
        <v>1</v>
      </c>
      <c r="V234">
        <v>0</v>
      </c>
      <c r="W234">
        <v>1</v>
      </c>
      <c r="X234" t="s">
        <v>55</v>
      </c>
    </row>
    <row r="235" customHeight="1" spans="1:24">
      <c r="A235" t="s">
        <v>298</v>
      </c>
      <c r="B235">
        <v>36</v>
      </c>
      <c r="C235">
        <v>6</v>
      </c>
      <c r="D235" t="s">
        <v>53</v>
      </c>
      <c r="E235" t="s">
        <v>69</v>
      </c>
      <c r="F235" t="s">
        <v>55</v>
      </c>
      <c r="G235">
        <v>153</v>
      </c>
      <c r="H235">
        <v>16.63</v>
      </c>
      <c r="I235">
        <v>106</v>
      </c>
      <c r="J235">
        <v>559.6</v>
      </c>
      <c r="K235">
        <v>0</v>
      </c>
      <c r="L235" t="s">
        <v>62</v>
      </c>
      <c r="M235">
        <v>1</v>
      </c>
      <c r="N235">
        <v>1</v>
      </c>
      <c r="O235">
        <v>27.5</v>
      </c>
      <c r="P235">
        <v>1</v>
      </c>
      <c r="Q235">
        <v>1</v>
      </c>
      <c r="R235">
        <v>1</v>
      </c>
      <c r="S235" t="s">
        <v>66</v>
      </c>
      <c r="T235">
        <v>1</v>
      </c>
      <c r="U235">
        <v>0</v>
      </c>
      <c r="V235">
        <v>0</v>
      </c>
      <c r="W235">
        <v>1</v>
      </c>
      <c r="X235" t="s">
        <v>55</v>
      </c>
    </row>
    <row r="236" customHeight="1" spans="1:24">
      <c r="A236" t="s">
        <v>299</v>
      </c>
      <c r="B236">
        <v>31</v>
      </c>
      <c r="C236">
        <v>67</v>
      </c>
      <c r="D236" t="s">
        <v>60</v>
      </c>
      <c r="E236" t="s">
        <v>61</v>
      </c>
      <c r="F236" t="s">
        <v>58</v>
      </c>
      <c r="G236">
        <v>457</v>
      </c>
      <c r="H236">
        <v>17.41</v>
      </c>
      <c r="I236">
        <v>76</v>
      </c>
      <c r="J236">
        <v>811.08</v>
      </c>
      <c r="K236">
        <v>1</v>
      </c>
      <c r="L236" t="s">
        <v>56</v>
      </c>
      <c r="M236">
        <v>0</v>
      </c>
      <c r="N236">
        <v>2</v>
      </c>
      <c r="O236">
        <v>5.5</v>
      </c>
      <c r="P236">
        <v>1</v>
      </c>
      <c r="Q236">
        <v>0</v>
      </c>
      <c r="R236">
        <v>0</v>
      </c>
      <c r="S236" t="s">
        <v>63</v>
      </c>
      <c r="T236">
        <v>0</v>
      </c>
      <c r="U236">
        <v>1</v>
      </c>
      <c r="V236">
        <v>1</v>
      </c>
      <c r="W236">
        <v>0</v>
      </c>
      <c r="X236" t="s">
        <v>58</v>
      </c>
    </row>
    <row r="237" customHeight="1" spans="1:24">
      <c r="A237" t="s">
        <v>300</v>
      </c>
      <c r="B237">
        <v>18</v>
      </c>
      <c r="C237">
        <v>44</v>
      </c>
      <c r="D237" t="s">
        <v>53</v>
      </c>
      <c r="E237" t="s">
        <v>65</v>
      </c>
      <c r="F237" t="s">
        <v>55</v>
      </c>
      <c r="G237">
        <v>435</v>
      </c>
      <c r="H237">
        <v>23.48</v>
      </c>
      <c r="I237">
        <v>92</v>
      </c>
      <c r="J237">
        <v>325.86</v>
      </c>
      <c r="K237">
        <v>1</v>
      </c>
      <c r="L237" t="s">
        <v>56</v>
      </c>
      <c r="M237">
        <v>0</v>
      </c>
      <c r="N237">
        <v>1</v>
      </c>
      <c r="O237">
        <v>4.5</v>
      </c>
      <c r="P237">
        <v>1</v>
      </c>
      <c r="Q237">
        <v>1</v>
      </c>
      <c r="R237">
        <v>0</v>
      </c>
      <c r="S237" t="s">
        <v>63</v>
      </c>
      <c r="T237">
        <v>0</v>
      </c>
      <c r="U237">
        <v>1</v>
      </c>
      <c r="V237">
        <v>0</v>
      </c>
      <c r="W237">
        <v>1</v>
      </c>
      <c r="X237" t="s">
        <v>58</v>
      </c>
    </row>
    <row r="238" customHeight="1" spans="1:24">
      <c r="A238" t="s">
        <v>301</v>
      </c>
      <c r="B238">
        <v>66</v>
      </c>
      <c r="C238">
        <v>20</v>
      </c>
      <c r="D238" t="s">
        <v>60</v>
      </c>
      <c r="E238" t="s">
        <v>76</v>
      </c>
      <c r="F238" t="s">
        <v>58</v>
      </c>
      <c r="G238">
        <v>527</v>
      </c>
      <c r="H238">
        <v>35.73</v>
      </c>
      <c r="I238">
        <v>68</v>
      </c>
      <c r="J238">
        <v>757.97</v>
      </c>
      <c r="K238">
        <v>0</v>
      </c>
      <c r="L238" t="s">
        <v>62</v>
      </c>
      <c r="M238">
        <v>0</v>
      </c>
      <c r="N238">
        <v>0</v>
      </c>
      <c r="O238">
        <v>26.3</v>
      </c>
      <c r="P238">
        <v>2</v>
      </c>
      <c r="Q238">
        <v>0</v>
      </c>
      <c r="R238">
        <v>0</v>
      </c>
      <c r="S238" t="s">
        <v>57</v>
      </c>
      <c r="T238">
        <v>0</v>
      </c>
      <c r="U238">
        <v>0</v>
      </c>
      <c r="V238">
        <v>0</v>
      </c>
      <c r="W238">
        <v>0</v>
      </c>
      <c r="X238" t="s">
        <v>58</v>
      </c>
    </row>
    <row r="239" customHeight="1" spans="1:24">
      <c r="A239" t="s">
        <v>302</v>
      </c>
      <c r="B239">
        <v>40</v>
      </c>
      <c r="C239">
        <v>19</v>
      </c>
      <c r="D239" t="s">
        <v>53</v>
      </c>
      <c r="E239" t="s">
        <v>65</v>
      </c>
      <c r="F239" t="s">
        <v>58</v>
      </c>
      <c r="G239">
        <v>320</v>
      </c>
      <c r="H239">
        <v>23.8</v>
      </c>
      <c r="I239">
        <v>100</v>
      </c>
      <c r="J239">
        <v>536.3</v>
      </c>
      <c r="K239">
        <v>1</v>
      </c>
      <c r="L239" t="s">
        <v>56</v>
      </c>
      <c r="M239">
        <v>0</v>
      </c>
      <c r="N239">
        <v>0</v>
      </c>
      <c r="O239">
        <v>10.6</v>
      </c>
      <c r="P239">
        <v>2</v>
      </c>
      <c r="Q239">
        <v>1</v>
      </c>
      <c r="R239">
        <v>0</v>
      </c>
      <c r="S239" t="s">
        <v>57</v>
      </c>
      <c r="T239">
        <v>0</v>
      </c>
      <c r="U239">
        <v>1</v>
      </c>
      <c r="V239">
        <v>0</v>
      </c>
      <c r="W239">
        <v>0</v>
      </c>
      <c r="X239" t="s">
        <v>58</v>
      </c>
    </row>
    <row r="240" customHeight="1" spans="1:24">
      <c r="A240" t="s">
        <v>303</v>
      </c>
      <c r="B240">
        <v>38</v>
      </c>
      <c r="C240">
        <v>3</v>
      </c>
      <c r="D240" t="s">
        <v>53</v>
      </c>
      <c r="E240" t="s">
        <v>54</v>
      </c>
      <c r="F240" t="s">
        <v>55</v>
      </c>
      <c r="G240">
        <v>684</v>
      </c>
      <c r="H240">
        <v>2.82</v>
      </c>
      <c r="I240">
        <v>157</v>
      </c>
      <c r="J240">
        <v>434.49</v>
      </c>
      <c r="K240">
        <v>0</v>
      </c>
      <c r="L240" t="s">
        <v>62</v>
      </c>
      <c r="M240">
        <v>2</v>
      </c>
      <c r="N240">
        <v>5</v>
      </c>
      <c r="O240">
        <v>23.9</v>
      </c>
      <c r="P240">
        <v>1</v>
      </c>
      <c r="Q240">
        <v>1</v>
      </c>
      <c r="R240">
        <v>0</v>
      </c>
      <c r="S240" t="s">
        <v>66</v>
      </c>
      <c r="T240">
        <v>1</v>
      </c>
      <c r="U240">
        <v>0</v>
      </c>
      <c r="V240">
        <v>1</v>
      </c>
      <c r="W240">
        <v>1</v>
      </c>
      <c r="X240" t="s">
        <v>55</v>
      </c>
    </row>
    <row r="241" customHeight="1" spans="1:24">
      <c r="A241" t="s">
        <v>304</v>
      </c>
      <c r="B241">
        <v>39</v>
      </c>
      <c r="C241">
        <v>69</v>
      </c>
      <c r="D241" t="s">
        <v>53</v>
      </c>
      <c r="E241" t="s">
        <v>76</v>
      </c>
      <c r="F241" t="s">
        <v>58</v>
      </c>
      <c r="G241">
        <v>343</v>
      </c>
      <c r="H241">
        <v>4.16</v>
      </c>
      <c r="I241">
        <v>112</v>
      </c>
      <c r="J241">
        <v>519.69</v>
      </c>
      <c r="K241">
        <v>0</v>
      </c>
      <c r="L241" t="s">
        <v>62</v>
      </c>
      <c r="M241">
        <v>0</v>
      </c>
      <c r="N241">
        <v>0</v>
      </c>
      <c r="O241">
        <v>23.7</v>
      </c>
      <c r="P241">
        <v>1</v>
      </c>
      <c r="Q241">
        <v>0</v>
      </c>
      <c r="R241">
        <v>0</v>
      </c>
      <c r="S241" t="s">
        <v>63</v>
      </c>
      <c r="T241">
        <v>0</v>
      </c>
      <c r="U241">
        <v>0</v>
      </c>
      <c r="V241">
        <v>1</v>
      </c>
      <c r="W241">
        <v>0</v>
      </c>
      <c r="X241" t="s">
        <v>58</v>
      </c>
    </row>
    <row r="242" customHeight="1" spans="1:24">
      <c r="A242" t="s">
        <v>305</v>
      </c>
      <c r="B242">
        <v>52</v>
      </c>
      <c r="C242">
        <v>8</v>
      </c>
      <c r="D242" t="s">
        <v>60</v>
      </c>
      <c r="E242" t="s">
        <v>54</v>
      </c>
      <c r="F242" t="s">
        <v>58</v>
      </c>
      <c r="G242">
        <v>269</v>
      </c>
      <c r="H242">
        <v>14.01</v>
      </c>
      <c r="I242">
        <v>0</v>
      </c>
      <c r="J242">
        <v>705.17</v>
      </c>
      <c r="K242">
        <v>0</v>
      </c>
      <c r="L242" t="s">
        <v>62</v>
      </c>
      <c r="M242">
        <v>1</v>
      </c>
      <c r="N242">
        <v>2</v>
      </c>
      <c r="O242">
        <v>26.2</v>
      </c>
      <c r="P242">
        <v>0</v>
      </c>
      <c r="Q242">
        <v>1</v>
      </c>
      <c r="R242">
        <v>0</v>
      </c>
      <c r="S242" t="s">
        <v>57</v>
      </c>
      <c r="T242">
        <v>1</v>
      </c>
      <c r="U242">
        <v>0</v>
      </c>
      <c r="V242">
        <v>0</v>
      </c>
      <c r="W242">
        <v>0</v>
      </c>
      <c r="X242" t="s">
        <v>58</v>
      </c>
    </row>
    <row r="243" customHeight="1" spans="1:24">
      <c r="A243" t="s">
        <v>306</v>
      </c>
      <c r="B243">
        <v>45</v>
      </c>
      <c r="C243">
        <v>55</v>
      </c>
      <c r="D243" t="s">
        <v>53</v>
      </c>
      <c r="E243" t="s">
        <v>69</v>
      </c>
      <c r="F243" t="s">
        <v>55</v>
      </c>
      <c r="G243">
        <v>251</v>
      </c>
      <c r="H243">
        <v>15.32</v>
      </c>
      <c r="I243">
        <v>68</v>
      </c>
      <c r="J243">
        <v>346.01</v>
      </c>
      <c r="K243">
        <v>2</v>
      </c>
      <c r="L243" t="s">
        <v>56</v>
      </c>
      <c r="M243">
        <v>0</v>
      </c>
      <c r="N243">
        <v>0</v>
      </c>
      <c r="O243">
        <v>13.2</v>
      </c>
      <c r="P243">
        <v>1</v>
      </c>
      <c r="Q243">
        <v>0</v>
      </c>
      <c r="R243">
        <v>0</v>
      </c>
      <c r="S243" t="s">
        <v>63</v>
      </c>
      <c r="T243">
        <v>0</v>
      </c>
      <c r="U243">
        <v>1</v>
      </c>
      <c r="V243">
        <v>0</v>
      </c>
      <c r="W243">
        <v>1</v>
      </c>
      <c r="X243" t="s">
        <v>55</v>
      </c>
    </row>
    <row r="244" customHeight="1" spans="1:24">
      <c r="A244" t="s">
        <v>307</v>
      </c>
      <c r="B244">
        <v>49</v>
      </c>
      <c r="C244">
        <v>18</v>
      </c>
      <c r="D244" t="s">
        <v>53</v>
      </c>
      <c r="E244" t="s">
        <v>69</v>
      </c>
      <c r="F244" t="s">
        <v>58</v>
      </c>
      <c r="G244">
        <v>140</v>
      </c>
      <c r="H244">
        <v>0.78</v>
      </c>
      <c r="I244">
        <v>14</v>
      </c>
      <c r="J244">
        <v>459.88</v>
      </c>
      <c r="K244">
        <v>1</v>
      </c>
      <c r="L244" t="s">
        <v>56</v>
      </c>
      <c r="M244">
        <v>2</v>
      </c>
      <c r="N244">
        <v>3</v>
      </c>
      <c r="O244">
        <v>34.8</v>
      </c>
      <c r="P244">
        <v>4</v>
      </c>
      <c r="Q244">
        <v>1</v>
      </c>
      <c r="R244">
        <v>0</v>
      </c>
      <c r="S244" t="s">
        <v>57</v>
      </c>
      <c r="T244">
        <v>1</v>
      </c>
      <c r="U244">
        <v>1</v>
      </c>
      <c r="V244">
        <v>1</v>
      </c>
      <c r="W244">
        <v>0</v>
      </c>
      <c r="X244" t="s">
        <v>58</v>
      </c>
    </row>
    <row r="245" customHeight="1" spans="1:24">
      <c r="A245" t="s">
        <v>308</v>
      </c>
      <c r="B245">
        <v>34</v>
      </c>
      <c r="C245">
        <v>25</v>
      </c>
      <c r="D245" t="s">
        <v>72</v>
      </c>
      <c r="E245" t="s">
        <v>54</v>
      </c>
      <c r="F245" t="s">
        <v>58</v>
      </c>
      <c r="G245">
        <v>630</v>
      </c>
      <c r="H245">
        <v>26.19</v>
      </c>
      <c r="I245">
        <v>137</v>
      </c>
      <c r="J245">
        <v>957.53</v>
      </c>
      <c r="K245">
        <v>1</v>
      </c>
      <c r="L245" t="s">
        <v>56</v>
      </c>
      <c r="M245">
        <v>0</v>
      </c>
      <c r="N245">
        <v>0</v>
      </c>
      <c r="O245">
        <v>22.9</v>
      </c>
      <c r="P245">
        <v>3</v>
      </c>
      <c r="Q245">
        <v>0</v>
      </c>
      <c r="R245">
        <v>0</v>
      </c>
      <c r="S245" t="s">
        <v>63</v>
      </c>
      <c r="T245">
        <v>0</v>
      </c>
      <c r="U245">
        <v>1</v>
      </c>
      <c r="V245">
        <v>0</v>
      </c>
      <c r="W245">
        <v>0</v>
      </c>
      <c r="X245" t="s">
        <v>58</v>
      </c>
    </row>
    <row r="246" customHeight="1" spans="1:24">
      <c r="A246" t="s">
        <v>309</v>
      </c>
      <c r="B246">
        <v>35</v>
      </c>
      <c r="C246">
        <v>20</v>
      </c>
      <c r="D246" t="s">
        <v>53</v>
      </c>
      <c r="E246" t="s">
        <v>54</v>
      </c>
      <c r="F246" t="s">
        <v>58</v>
      </c>
      <c r="G246">
        <v>606</v>
      </c>
      <c r="H246">
        <v>7.14</v>
      </c>
      <c r="I246">
        <v>155</v>
      </c>
      <c r="J246">
        <v>433.22</v>
      </c>
      <c r="K246">
        <v>0</v>
      </c>
      <c r="L246" t="s">
        <v>62</v>
      </c>
      <c r="M246">
        <v>1</v>
      </c>
      <c r="N246">
        <v>2</v>
      </c>
      <c r="O246">
        <v>29.3</v>
      </c>
      <c r="P246">
        <v>0</v>
      </c>
      <c r="Q246">
        <v>1</v>
      </c>
      <c r="R246">
        <v>0</v>
      </c>
      <c r="S246" t="s">
        <v>57</v>
      </c>
      <c r="T246">
        <v>1</v>
      </c>
      <c r="U246">
        <v>0</v>
      </c>
      <c r="V246">
        <v>0</v>
      </c>
      <c r="W246">
        <v>0</v>
      </c>
      <c r="X246" t="s">
        <v>58</v>
      </c>
    </row>
    <row r="247" customHeight="1" spans="1:24">
      <c r="A247" t="s">
        <v>310</v>
      </c>
      <c r="B247">
        <v>68</v>
      </c>
      <c r="C247">
        <v>60</v>
      </c>
      <c r="D247" t="s">
        <v>60</v>
      </c>
      <c r="E247" t="s">
        <v>117</v>
      </c>
      <c r="F247" t="s">
        <v>58</v>
      </c>
      <c r="G247">
        <v>490</v>
      </c>
      <c r="H247">
        <v>32.93</v>
      </c>
      <c r="I247">
        <v>138</v>
      </c>
      <c r="J247">
        <v>1012.65</v>
      </c>
      <c r="K247">
        <v>0</v>
      </c>
      <c r="L247" t="s">
        <v>62</v>
      </c>
      <c r="M247">
        <v>2</v>
      </c>
      <c r="N247">
        <v>3</v>
      </c>
      <c r="O247">
        <v>9.6</v>
      </c>
      <c r="P247">
        <v>0</v>
      </c>
      <c r="Q247">
        <v>0</v>
      </c>
      <c r="R247">
        <v>1</v>
      </c>
      <c r="S247" t="s">
        <v>63</v>
      </c>
      <c r="T247">
        <v>1</v>
      </c>
      <c r="U247">
        <v>0</v>
      </c>
      <c r="V247">
        <v>0</v>
      </c>
      <c r="W247">
        <v>0</v>
      </c>
      <c r="X247" t="s">
        <v>58</v>
      </c>
    </row>
    <row r="248" customHeight="1" spans="1:24">
      <c r="A248" t="s">
        <v>311</v>
      </c>
      <c r="B248">
        <v>43</v>
      </c>
      <c r="C248">
        <v>3</v>
      </c>
      <c r="D248" t="s">
        <v>53</v>
      </c>
      <c r="E248" t="s">
        <v>76</v>
      </c>
      <c r="F248" t="s">
        <v>55</v>
      </c>
      <c r="G248">
        <v>266</v>
      </c>
      <c r="H248">
        <v>36.21</v>
      </c>
      <c r="I248">
        <v>65</v>
      </c>
      <c r="J248">
        <v>316.32</v>
      </c>
      <c r="K248">
        <v>0</v>
      </c>
      <c r="L248" t="s">
        <v>62</v>
      </c>
      <c r="M248">
        <v>1</v>
      </c>
      <c r="N248">
        <v>1</v>
      </c>
      <c r="O248">
        <v>21.9</v>
      </c>
      <c r="P248">
        <v>0</v>
      </c>
      <c r="Q248">
        <v>0</v>
      </c>
      <c r="R248">
        <v>0</v>
      </c>
      <c r="S248" t="s">
        <v>66</v>
      </c>
      <c r="T248">
        <v>1</v>
      </c>
      <c r="U248">
        <v>0</v>
      </c>
      <c r="V248">
        <v>0</v>
      </c>
      <c r="W248">
        <v>1</v>
      </c>
      <c r="X248" t="s">
        <v>58</v>
      </c>
    </row>
    <row r="249" customHeight="1" spans="1:24">
      <c r="A249" t="s">
        <v>312</v>
      </c>
      <c r="B249">
        <v>74</v>
      </c>
      <c r="C249">
        <v>26</v>
      </c>
      <c r="D249" t="s">
        <v>60</v>
      </c>
      <c r="E249" t="s">
        <v>76</v>
      </c>
      <c r="F249" t="s">
        <v>58</v>
      </c>
      <c r="G249">
        <v>672</v>
      </c>
      <c r="H249">
        <v>15.52</v>
      </c>
      <c r="I249">
        <v>137</v>
      </c>
      <c r="J249">
        <v>821.83</v>
      </c>
      <c r="K249">
        <v>1</v>
      </c>
      <c r="L249" t="s">
        <v>56</v>
      </c>
      <c r="M249">
        <v>1</v>
      </c>
      <c r="N249">
        <v>3</v>
      </c>
      <c r="O249">
        <v>37.2</v>
      </c>
      <c r="P249">
        <v>1</v>
      </c>
      <c r="Q249">
        <v>1</v>
      </c>
      <c r="R249">
        <v>1</v>
      </c>
      <c r="S249" t="s">
        <v>63</v>
      </c>
      <c r="T249">
        <v>1</v>
      </c>
      <c r="U249">
        <v>1</v>
      </c>
      <c r="V249">
        <v>0</v>
      </c>
      <c r="W249">
        <v>0</v>
      </c>
      <c r="X249" t="s">
        <v>58</v>
      </c>
    </row>
    <row r="250" customHeight="1" spans="1:24">
      <c r="A250" t="s">
        <v>313</v>
      </c>
      <c r="B250">
        <v>67</v>
      </c>
      <c r="C250">
        <v>21</v>
      </c>
      <c r="D250" t="s">
        <v>53</v>
      </c>
      <c r="E250" t="s">
        <v>65</v>
      </c>
      <c r="F250" t="s">
        <v>58</v>
      </c>
      <c r="G250">
        <v>347</v>
      </c>
      <c r="H250">
        <v>22.39</v>
      </c>
      <c r="I250">
        <v>87</v>
      </c>
      <c r="J250">
        <v>377.76</v>
      </c>
      <c r="K250">
        <v>0</v>
      </c>
      <c r="L250" t="s">
        <v>62</v>
      </c>
      <c r="M250">
        <v>0</v>
      </c>
      <c r="N250">
        <v>0</v>
      </c>
      <c r="O250">
        <v>35.6</v>
      </c>
      <c r="P250">
        <v>2</v>
      </c>
      <c r="Q250">
        <v>0</v>
      </c>
      <c r="R250">
        <v>0</v>
      </c>
      <c r="S250" t="s">
        <v>57</v>
      </c>
      <c r="T250">
        <v>0</v>
      </c>
      <c r="U250">
        <v>0</v>
      </c>
      <c r="V250">
        <v>0</v>
      </c>
      <c r="W250">
        <v>0</v>
      </c>
      <c r="X250" t="s">
        <v>58</v>
      </c>
    </row>
    <row r="251" customHeight="1" spans="1:24">
      <c r="A251" t="s">
        <v>314</v>
      </c>
      <c r="B251">
        <v>59</v>
      </c>
      <c r="C251">
        <v>20</v>
      </c>
      <c r="D251" t="s">
        <v>60</v>
      </c>
      <c r="E251" t="s">
        <v>76</v>
      </c>
      <c r="F251" t="s">
        <v>55</v>
      </c>
      <c r="G251">
        <v>360</v>
      </c>
      <c r="H251">
        <v>5.68</v>
      </c>
      <c r="I251">
        <v>40</v>
      </c>
      <c r="J251">
        <v>556.12</v>
      </c>
      <c r="K251">
        <v>1</v>
      </c>
      <c r="L251" t="s">
        <v>56</v>
      </c>
      <c r="M251">
        <v>0</v>
      </c>
      <c r="N251">
        <v>0</v>
      </c>
      <c r="O251">
        <v>14.4</v>
      </c>
      <c r="P251">
        <v>4</v>
      </c>
      <c r="Q251">
        <v>0</v>
      </c>
      <c r="R251">
        <v>0</v>
      </c>
      <c r="S251" t="s">
        <v>57</v>
      </c>
      <c r="T251">
        <v>0</v>
      </c>
      <c r="U251">
        <v>1</v>
      </c>
      <c r="V251">
        <v>0</v>
      </c>
      <c r="W251">
        <v>1</v>
      </c>
      <c r="X251" t="s">
        <v>55</v>
      </c>
    </row>
    <row r="252" customHeight="1" spans="1:24">
      <c r="A252" t="s">
        <v>315</v>
      </c>
      <c r="B252">
        <v>49</v>
      </c>
      <c r="C252">
        <v>14</v>
      </c>
      <c r="D252" t="s">
        <v>53</v>
      </c>
      <c r="E252" t="s">
        <v>61</v>
      </c>
      <c r="F252" t="s">
        <v>55</v>
      </c>
      <c r="G252">
        <v>616</v>
      </c>
      <c r="H252">
        <v>24.24</v>
      </c>
      <c r="I252">
        <v>172</v>
      </c>
      <c r="J252">
        <v>424.4</v>
      </c>
      <c r="K252">
        <v>0</v>
      </c>
      <c r="L252" t="s">
        <v>62</v>
      </c>
      <c r="M252">
        <v>0</v>
      </c>
      <c r="N252">
        <v>0</v>
      </c>
      <c r="O252">
        <v>23.7</v>
      </c>
      <c r="P252">
        <v>1</v>
      </c>
      <c r="Q252">
        <v>1</v>
      </c>
      <c r="R252">
        <v>0</v>
      </c>
      <c r="S252" t="s">
        <v>57</v>
      </c>
      <c r="T252">
        <v>0</v>
      </c>
      <c r="U252">
        <v>0</v>
      </c>
      <c r="V252">
        <v>0</v>
      </c>
      <c r="W252">
        <v>1</v>
      </c>
      <c r="X252" t="s">
        <v>55</v>
      </c>
    </row>
    <row r="253" customHeight="1" spans="1:24">
      <c r="A253" t="s">
        <v>316</v>
      </c>
      <c r="B253">
        <v>66</v>
      </c>
      <c r="C253">
        <v>66</v>
      </c>
      <c r="D253" t="s">
        <v>72</v>
      </c>
      <c r="E253" t="s">
        <v>61</v>
      </c>
      <c r="F253" t="s">
        <v>58</v>
      </c>
      <c r="G253">
        <v>499</v>
      </c>
      <c r="H253">
        <v>13.02</v>
      </c>
      <c r="I253">
        <v>177</v>
      </c>
      <c r="J253">
        <v>1131.85</v>
      </c>
      <c r="K253">
        <v>1</v>
      </c>
      <c r="L253" t="s">
        <v>56</v>
      </c>
      <c r="M253">
        <v>1</v>
      </c>
      <c r="N253">
        <v>1</v>
      </c>
      <c r="O253">
        <v>12.1</v>
      </c>
      <c r="P253">
        <v>0</v>
      </c>
      <c r="Q253">
        <v>0</v>
      </c>
      <c r="R253">
        <v>0</v>
      </c>
      <c r="S253" t="s">
        <v>63</v>
      </c>
      <c r="T253">
        <v>1</v>
      </c>
      <c r="U253">
        <v>1</v>
      </c>
      <c r="V253">
        <v>0</v>
      </c>
      <c r="W253">
        <v>0</v>
      </c>
      <c r="X253" t="s">
        <v>58</v>
      </c>
    </row>
    <row r="254" customHeight="1" spans="1:24">
      <c r="A254" t="s">
        <v>317</v>
      </c>
      <c r="B254">
        <v>21</v>
      </c>
      <c r="C254">
        <v>28</v>
      </c>
      <c r="D254" t="s">
        <v>72</v>
      </c>
      <c r="E254" t="s">
        <v>61</v>
      </c>
      <c r="F254" t="s">
        <v>58</v>
      </c>
      <c r="G254">
        <v>730</v>
      </c>
      <c r="H254">
        <v>7.13</v>
      </c>
      <c r="I254">
        <v>186</v>
      </c>
      <c r="J254">
        <v>1204.15</v>
      </c>
      <c r="K254">
        <v>0</v>
      </c>
      <c r="L254" t="s">
        <v>62</v>
      </c>
      <c r="M254">
        <v>0</v>
      </c>
      <c r="N254">
        <v>2</v>
      </c>
      <c r="O254">
        <v>16.1</v>
      </c>
      <c r="P254">
        <v>0</v>
      </c>
      <c r="Q254">
        <v>0</v>
      </c>
      <c r="R254">
        <v>1</v>
      </c>
      <c r="S254" t="s">
        <v>63</v>
      </c>
      <c r="T254">
        <v>0</v>
      </c>
      <c r="U254">
        <v>0</v>
      </c>
      <c r="V254">
        <v>0</v>
      </c>
      <c r="W254">
        <v>0</v>
      </c>
      <c r="X254" t="s">
        <v>58</v>
      </c>
    </row>
    <row r="255" customHeight="1" spans="1:24">
      <c r="A255" t="s">
        <v>318</v>
      </c>
      <c r="B255">
        <v>46</v>
      </c>
      <c r="C255">
        <v>31</v>
      </c>
      <c r="D255" t="s">
        <v>53</v>
      </c>
      <c r="E255" t="s">
        <v>54</v>
      </c>
      <c r="F255" t="s">
        <v>58</v>
      </c>
      <c r="G255">
        <v>437</v>
      </c>
      <c r="H255">
        <v>15.11</v>
      </c>
      <c r="I255">
        <v>77</v>
      </c>
      <c r="J255">
        <v>484.67</v>
      </c>
      <c r="K255">
        <v>2</v>
      </c>
      <c r="L255" t="s">
        <v>56</v>
      </c>
      <c r="M255">
        <v>0</v>
      </c>
      <c r="N255">
        <v>1</v>
      </c>
      <c r="O255">
        <v>7.2</v>
      </c>
      <c r="P255">
        <v>2</v>
      </c>
      <c r="Q255">
        <v>1</v>
      </c>
      <c r="R255">
        <v>2</v>
      </c>
      <c r="S255" t="s">
        <v>63</v>
      </c>
      <c r="T255">
        <v>0</v>
      </c>
      <c r="U255">
        <v>1</v>
      </c>
      <c r="V255">
        <v>0</v>
      </c>
      <c r="W255">
        <v>0</v>
      </c>
      <c r="X255" t="s">
        <v>58</v>
      </c>
    </row>
    <row r="256" customHeight="1" spans="1:24">
      <c r="A256" t="s">
        <v>319</v>
      </c>
      <c r="B256">
        <v>59</v>
      </c>
      <c r="C256">
        <v>28</v>
      </c>
      <c r="D256" t="s">
        <v>53</v>
      </c>
      <c r="E256" t="s">
        <v>65</v>
      </c>
      <c r="F256" t="s">
        <v>58</v>
      </c>
      <c r="G256">
        <v>340</v>
      </c>
      <c r="H256">
        <v>13.34</v>
      </c>
      <c r="I256">
        <v>203</v>
      </c>
      <c r="J256">
        <v>460.19</v>
      </c>
      <c r="K256">
        <v>0</v>
      </c>
      <c r="L256" t="s">
        <v>62</v>
      </c>
      <c r="M256">
        <v>1</v>
      </c>
      <c r="N256">
        <v>2</v>
      </c>
      <c r="O256">
        <v>22.3</v>
      </c>
      <c r="P256">
        <v>1</v>
      </c>
      <c r="Q256">
        <v>2</v>
      </c>
      <c r="R256">
        <v>0</v>
      </c>
      <c r="S256" t="s">
        <v>63</v>
      </c>
      <c r="T256">
        <v>1</v>
      </c>
      <c r="U256">
        <v>0</v>
      </c>
      <c r="V256">
        <v>0</v>
      </c>
      <c r="W256">
        <v>0</v>
      </c>
      <c r="X256" t="s">
        <v>58</v>
      </c>
    </row>
    <row r="257" customHeight="1" spans="1:24">
      <c r="A257" t="s">
        <v>320</v>
      </c>
      <c r="B257">
        <v>24</v>
      </c>
      <c r="C257">
        <v>71</v>
      </c>
      <c r="D257" t="s">
        <v>53</v>
      </c>
      <c r="E257" t="s">
        <v>76</v>
      </c>
      <c r="F257" t="s">
        <v>58</v>
      </c>
      <c r="G257">
        <v>308</v>
      </c>
      <c r="H257">
        <v>14.75</v>
      </c>
      <c r="I257">
        <v>85</v>
      </c>
      <c r="J257">
        <v>477.53</v>
      </c>
      <c r="K257">
        <v>1</v>
      </c>
      <c r="L257" t="s">
        <v>56</v>
      </c>
      <c r="M257">
        <v>1</v>
      </c>
      <c r="N257">
        <v>2</v>
      </c>
      <c r="O257">
        <v>31.6</v>
      </c>
      <c r="P257">
        <v>0</v>
      </c>
      <c r="Q257">
        <v>1</v>
      </c>
      <c r="R257">
        <v>0</v>
      </c>
      <c r="S257" t="s">
        <v>63</v>
      </c>
      <c r="T257">
        <v>1</v>
      </c>
      <c r="U257">
        <v>1</v>
      </c>
      <c r="V257">
        <v>0</v>
      </c>
      <c r="W257">
        <v>0</v>
      </c>
      <c r="X257" t="s">
        <v>58</v>
      </c>
    </row>
    <row r="258" customHeight="1" spans="1:24">
      <c r="A258" t="s">
        <v>321</v>
      </c>
      <c r="B258">
        <v>28</v>
      </c>
      <c r="C258">
        <v>25</v>
      </c>
      <c r="D258" t="s">
        <v>60</v>
      </c>
      <c r="E258" t="s">
        <v>61</v>
      </c>
      <c r="F258" t="s">
        <v>58</v>
      </c>
      <c r="G258">
        <v>123</v>
      </c>
      <c r="H258">
        <v>27.5</v>
      </c>
      <c r="I258">
        <v>166</v>
      </c>
      <c r="J258">
        <v>627.32</v>
      </c>
      <c r="K258">
        <v>0</v>
      </c>
      <c r="L258" t="s">
        <v>62</v>
      </c>
      <c r="M258">
        <v>0</v>
      </c>
      <c r="N258">
        <v>1</v>
      </c>
      <c r="O258">
        <v>14.6</v>
      </c>
      <c r="P258">
        <v>0</v>
      </c>
      <c r="Q258">
        <v>0</v>
      </c>
      <c r="R258">
        <v>0</v>
      </c>
      <c r="S258" t="s">
        <v>63</v>
      </c>
      <c r="T258">
        <v>0</v>
      </c>
      <c r="U258">
        <v>0</v>
      </c>
      <c r="V258">
        <v>0</v>
      </c>
      <c r="W258">
        <v>0</v>
      </c>
      <c r="X258" t="s">
        <v>58</v>
      </c>
    </row>
    <row r="259" customHeight="1" spans="1:24">
      <c r="A259" t="s">
        <v>322</v>
      </c>
      <c r="B259">
        <v>21</v>
      </c>
      <c r="C259">
        <v>25</v>
      </c>
      <c r="D259" t="s">
        <v>53</v>
      </c>
      <c r="E259" t="s">
        <v>61</v>
      </c>
      <c r="F259" t="s">
        <v>58</v>
      </c>
      <c r="G259">
        <v>358</v>
      </c>
      <c r="H259">
        <v>10.15</v>
      </c>
      <c r="I259">
        <v>84</v>
      </c>
      <c r="J259">
        <v>510</v>
      </c>
      <c r="K259">
        <v>2</v>
      </c>
      <c r="L259" t="s">
        <v>56</v>
      </c>
      <c r="M259">
        <v>1</v>
      </c>
      <c r="N259">
        <v>1</v>
      </c>
      <c r="O259">
        <v>22.9</v>
      </c>
      <c r="P259">
        <v>0</v>
      </c>
      <c r="Q259">
        <v>1</v>
      </c>
      <c r="R259">
        <v>1</v>
      </c>
      <c r="S259" t="s">
        <v>63</v>
      </c>
      <c r="T259">
        <v>1</v>
      </c>
      <c r="U259">
        <v>1</v>
      </c>
      <c r="V259">
        <v>0</v>
      </c>
      <c r="W259">
        <v>0</v>
      </c>
      <c r="X259" t="s">
        <v>58</v>
      </c>
    </row>
    <row r="260" customHeight="1" spans="1:24">
      <c r="A260" t="s">
        <v>323</v>
      </c>
      <c r="B260">
        <v>46</v>
      </c>
      <c r="C260">
        <v>24</v>
      </c>
      <c r="D260" t="s">
        <v>72</v>
      </c>
      <c r="E260" t="s">
        <v>54</v>
      </c>
      <c r="F260" t="s">
        <v>55</v>
      </c>
      <c r="G260">
        <v>572</v>
      </c>
      <c r="H260">
        <v>35.35</v>
      </c>
      <c r="I260">
        <v>104</v>
      </c>
      <c r="J260">
        <v>1076.52</v>
      </c>
      <c r="K260">
        <v>1</v>
      </c>
      <c r="L260" t="s">
        <v>56</v>
      </c>
      <c r="M260">
        <v>0</v>
      </c>
      <c r="N260">
        <v>1</v>
      </c>
      <c r="O260">
        <v>21.4</v>
      </c>
      <c r="P260">
        <v>1</v>
      </c>
      <c r="Q260">
        <v>1</v>
      </c>
      <c r="R260">
        <v>0</v>
      </c>
      <c r="S260" t="s">
        <v>57</v>
      </c>
      <c r="T260">
        <v>0</v>
      </c>
      <c r="U260">
        <v>1</v>
      </c>
      <c r="V260">
        <v>0</v>
      </c>
      <c r="W260">
        <v>1</v>
      </c>
      <c r="X260" t="s">
        <v>55</v>
      </c>
    </row>
    <row r="261" customHeight="1" spans="1:24">
      <c r="A261" t="s">
        <v>324</v>
      </c>
      <c r="B261">
        <v>49</v>
      </c>
      <c r="C261">
        <v>24</v>
      </c>
      <c r="D261" t="s">
        <v>72</v>
      </c>
      <c r="E261" t="s">
        <v>54</v>
      </c>
      <c r="F261" t="s">
        <v>58</v>
      </c>
      <c r="G261">
        <v>490</v>
      </c>
      <c r="H261">
        <v>4.75</v>
      </c>
      <c r="I261">
        <v>0</v>
      </c>
      <c r="J261">
        <v>878.11</v>
      </c>
      <c r="K261">
        <v>1</v>
      </c>
      <c r="L261" t="s">
        <v>56</v>
      </c>
      <c r="M261">
        <v>1</v>
      </c>
      <c r="N261">
        <v>1</v>
      </c>
      <c r="O261">
        <v>36.7</v>
      </c>
      <c r="P261">
        <v>0</v>
      </c>
      <c r="Q261">
        <v>0</v>
      </c>
      <c r="R261">
        <v>0</v>
      </c>
      <c r="S261" t="s">
        <v>57</v>
      </c>
      <c r="T261">
        <v>1</v>
      </c>
      <c r="U261">
        <v>1</v>
      </c>
      <c r="V261">
        <v>1</v>
      </c>
      <c r="W261">
        <v>0</v>
      </c>
      <c r="X261" t="s">
        <v>58</v>
      </c>
    </row>
    <row r="262" customHeight="1" spans="1:24">
      <c r="A262" t="s">
        <v>325</v>
      </c>
      <c r="B262">
        <v>45</v>
      </c>
      <c r="C262">
        <v>7</v>
      </c>
      <c r="D262" t="s">
        <v>72</v>
      </c>
      <c r="E262" t="s">
        <v>69</v>
      </c>
      <c r="F262" t="s">
        <v>58</v>
      </c>
      <c r="G262">
        <v>403</v>
      </c>
      <c r="H262">
        <v>34.15</v>
      </c>
      <c r="I262">
        <v>99</v>
      </c>
      <c r="J262">
        <v>1190.25</v>
      </c>
      <c r="K262">
        <v>0</v>
      </c>
      <c r="L262" t="s">
        <v>62</v>
      </c>
      <c r="M262">
        <v>3</v>
      </c>
      <c r="N262">
        <v>4</v>
      </c>
      <c r="O262">
        <v>16.7</v>
      </c>
      <c r="P262">
        <v>0</v>
      </c>
      <c r="Q262">
        <v>1</v>
      </c>
      <c r="R262">
        <v>1</v>
      </c>
      <c r="S262" t="s">
        <v>57</v>
      </c>
      <c r="T262">
        <v>1</v>
      </c>
      <c r="U262">
        <v>0</v>
      </c>
      <c r="V262">
        <v>0</v>
      </c>
      <c r="W262">
        <v>0</v>
      </c>
      <c r="X262" t="s">
        <v>58</v>
      </c>
    </row>
    <row r="263" customHeight="1" spans="1:24">
      <c r="A263" t="s">
        <v>326</v>
      </c>
      <c r="B263">
        <v>21</v>
      </c>
      <c r="C263">
        <v>44</v>
      </c>
      <c r="D263" t="s">
        <v>60</v>
      </c>
      <c r="E263" t="s">
        <v>69</v>
      </c>
      <c r="F263" t="s">
        <v>58</v>
      </c>
      <c r="G263">
        <v>251</v>
      </c>
      <c r="H263">
        <v>7.83</v>
      </c>
      <c r="I263">
        <v>126</v>
      </c>
      <c r="J263">
        <v>802.24</v>
      </c>
      <c r="K263">
        <v>0</v>
      </c>
      <c r="L263" t="s">
        <v>62</v>
      </c>
      <c r="M263">
        <v>0</v>
      </c>
      <c r="N263">
        <v>1</v>
      </c>
      <c r="O263">
        <v>17.1</v>
      </c>
      <c r="P263">
        <v>3</v>
      </c>
      <c r="Q263">
        <v>0</v>
      </c>
      <c r="R263">
        <v>1</v>
      </c>
      <c r="S263" t="s">
        <v>63</v>
      </c>
      <c r="T263">
        <v>0</v>
      </c>
      <c r="U263">
        <v>0</v>
      </c>
      <c r="V263">
        <v>0</v>
      </c>
      <c r="W263">
        <v>0</v>
      </c>
      <c r="X263" t="s">
        <v>58</v>
      </c>
    </row>
    <row r="264" customHeight="1" spans="1:24">
      <c r="A264" t="s">
        <v>327</v>
      </c>
      <c r="B264">
        <v>46</v>
      </c>
      <c r="C264">
        <v>2</v>
      </c>
      <c r="D264" t="s">
        <v>72</v>
      </c>
      <c r="E264" t="s">
        <v>76</v>
      </c>
      <c r="F264" t="s">
        <v>58</v>
      </c>
      <c r="G264">
        <v>434</v>
      </c>
      <c r="H264">
        <v>17.99</v>
      </c>
      <c r="I264">
        <v>91</v>
      </c>
      <c r="J264">
        <v>1236.3</v>
      </c>
      <c r="K264">
        <v>0</v>
      </c>
      <c r="L264" t="s">
        <v>62</v>
      </c>
      <c r="M264">
        <v>1</v>
      </c>
      <c r="N264">
        <v>1</v>
      </c>
      <c r="O264">
        <v>13.8</v>
      </c>
      <c r="P264">
        <v>1</v>
      </c>
      <c r="Q264">
        <v>0</v>
      </c>
      <c r="R264">
        <v>0</v>
      </c>
      <c r="S264" t="s">
        <v>66</v>
      </c>
      <c r="T264">
        <v>1</v>
      </c>
      <c r="U264">
        <v>0</v>
      </c>
      <c r="V264">
        <v>0</v>
      </c>
      <c r="W264">
        <v>0</v>
      </c>
      <c r="X264" t="s">
        <v>58</v>
      </c>
    </row>
    <row r="265" customHeight="1" spans="1:24">
      <c r="A265" t="s">
        <v>328</v>
      </c>
      <c r="B265">
        <v>69</v>
      </c>
      <c r="C265">
        <v>17</v>
      </c>
      <c r="D265" t="s">
        <v>53</v>
      </c>
      <c r="E265" t="s">
        <v>69</v>
      </c>
      <c r="F265" t="s">
        <v>58</v>
      </c>
      <c r="G265">
        <v>552</v>
      </c>
      <c r="H265">
        <v>13.1</v>
      </c>
      <c r="I265">
        <v>243</v>
      </c>
      <c r="J265">
        <v>478.02</v>
      </c>
      <c r="K265">
        <v>1</v>
      </c>
      <c r="L265" t="s">
        <v>56</v>
      </c>
      <c r="M265">
        <v>2</v>
      </c>
      <c r="N265">
        <v>2</v>
      </c>
      <c r="O265">
        <v>10.3</v>
      </c>
      <c r="P265">
        <v>0</v>
      </c>
      <c r="Q265">
        <v>1</v>
      </c>
      <c r="R265">
        <v>0</v>
      </c>
      <c r="S265" t="s">
        <v>57</v>
      </c>
      <c r="T265">
        <v>1</v>
      </c>
      <c r="U265">
        <v>1</v>
      </c>
      <c r="V265">
        <v>0</v>
      </c>
      <c r="W265">
        <v>0</v>
      </c>
      <c r="X265" t="s">
        <v>58</v>
      </c>
    </row>
    <row r="266" customHeight="1" spans="1:24">
      <c r="A266" t="s">
        <v>329</v>
      </c>
      <c r="B266">
        <v>19</v>
      </c>
      <c r="C266">
        <v>15</v>
      </c>
      <c r="D266" t="s">
        <v>60</v>
      </c>
      <c r="E266" t="s">
        <v>54</v>
      </c>
      <c r="F266" t="s">
        <v>55</v>
      </c>
      <c r="G266">
        <v>465</v>
      </c>
      <c r="H266">
        <v>14.56</v>
      </c>
      <c r="I266">
        <v>39</v>
      </c>
      <c r="J266">
        <v>809.69</v>
      </c>
      <c r="K266">
        <v>1</v>
      </c>
      <c r="L266" t="s">
        <v>56</v>
      </c>
      <c r="M266">
        <v>1</v>
      </c>
      <c r="N266">
        <v>4</v>
      </c>
      <c r="O266">
        <v>30.4</v>
      </c>
      <c r="P266">
        <v>1</v>
      </c>
      <c r="Q266">
        <v>0</v>
      </c>
      <c r="R266">
        <v>1</v>
      </c>
      <c r="S266" t="s">
        <v>57</v>
      </c>
      <c r="T266">
        <v>1</v>
      </c>
      <c r="U266">
        <v>1</v>
      </c>
      <c r="V266">
        <v>0</v>
      </c>
      <c r="W266">
        <v>1</v>
      </c>
      <c r="X266" t="s">
        <v>55</v>
      </c>
    </row>
    <row r="267" customHeight="1" spans="1:24">
      <c r="A267" t="s">
        <v>330</v>
      </c>
      <c r="B267">
        <v>63</v>
      </c>
      <c r="C267">
        <v>21</v>
      </c>
      <c r="D267" t="s">
        <v>53</v>
      </c>
      <c r="E267" t="s">
        <v>117</v>
      </c>
      <c r="F267" t="s">
        <v>58</v>
      </c>
      <c r="G267">
        <v>425</v>
      </c>
      <c r="H267">
        <v>26.01</v>
      </c>
      <c r="I267">
        <v>81</v>
      </c>
      <c r="J267">
        <v>471.16</v>
      </c>
      <c r="K267">
        <v>0</v>
      </c>
      <c r="L267" t="s">
        <v>62</v>
      </c>
      <c r="M267">
        <v>0</v>
      </c>
      <c r="N267">
        <v>1</v>
      </c>
      <c r="O267">
        <v>22.4</v>
      </c>
      <c r="P267">
        <v>1</v>
      </c>
      <c r="Q267">
        <v>0</v>
      </c>
      <c r="R267">
        <v>0</v>
      </c>
      <c r="S267" t="s">
        <v>57</v>
      </c>
      <c r="T267">
        <v>0</v>
      </c>
      <c r="U267">
        <v>0</v>
      </c>
      <c r="V267">
        <v>0</v>
      </c>
      <c r="W267">
        <v>0</v>
      </c>
      <c r="X267" t="s">
        <v>58</v>
      </c>
    </row>
    <row r="268" customHeight="1" spans="1:24">
      <c r="A268" t="s">
        <v>331</v>
      </c>
      <c r="B268">
        <v>33</v>
      </c>
      <c r="C268">
        <v>55</v>
      </c>
      <c r="D268" t="s">
        <v>72</v>
      </c>
      <c r="E268" t="s">
        <v>69</v>
      </c>
      <c r="F268" t="s">
        <v>58</v>
      </c>
      <c r="G268">
        <v>280</v>
      </c>
      <c r="H268">
        <v>33</v>
      </c>
      <c r="I268">
        <v>57</v>
      </c>
      <c r="J268">
        <v>1232.76</v>
      </c>
      <c r="K268">
        <v>1</v>
      </c>
      <c r="L268" t="s">
        <v>56</v>
      </c>
      <c r="M268">
        <v>0</v>
      </c>
      <c r="N268">
        <v>1</v>
      </c>
      <c r="O268">
        <v>24.7</v>
      </c>
      <c r="P268">
        <v>0</v>
      </c>
      <c r="Q268">
        <v>0</v>
      </c>
      <c r="R268">
        <v>0</v>
      </c>
      <c r="S268" t="s">
        <v>63</v>
      </c>
      <c r="T268">
        <v>0</v>
      </c>
      <c r="U268">
        <v>1</v>
      </c>
      <c r="V268">
        <v>0</v>
      </c>
      <c r="W268">
        <v>0</v>
      </c>
      <c r="X268" t="s">
        <v>58</v>
      </c>
    </row>
    <row r="269" customHeight="1" spans="1:24">
      <c r="A269" t="s">
        <v>332</v>
      </c>
      <c r="B269">
        <v>22</v>
      </c>
      <c r="C269">
        <v>44</v>
      </c>
      <c r="D269" t="s">
        <v>60</v>
      </c>
      <c r="E269" t="s">
        <v>65</v>
      </c>
      <c r="F269" t="s">
        <v>55</v>
      </c>
      <c r="G269">
        <v>530</v>
      </c>
      <c r="H269">
        <v>29.91</v>
      </c>
      <c r="I269">
        <v>81</v>
      </c>
      <c r="J269">
        <v>797.05</v>
      </c>
      <c r="K269">
        <v>0</v>
      </c>
      <c r="L269" t="s">
        <v>62</v>
      </c>
      <c r="M269">
        <v>1</v>
      </c>
      <c r="N269">
        <v>1</v>
      </c>
      <c r="O269">
        <v>39.3</v>
      </c>
      <c r="P269">
        <v>1</v>
      </c>
      <c r="Q269">
        <v>0</v>
      </c>
      <c r="R269">
        <v>0</v>
      </c>
      <c r="S269" t="s">
        <v>63</v>
      </c>
      <c r="T269">
        <v>1</v>
      </c>
      <c r="U269">
        <v>0</v>
      </c>
      <c r="V269">
        <v>0</v>
      </c>
      <c r="W269">
        <v>1</v>
      </c>
      <c r="X269" t="s">
        <v>55</v>
      </c>
    </row>
    <row r="270" customHeight="1" spans="1:24">
      <c r="A270" t="s">
        <v>333</v>
      </c>
      <c r="B270">
        <v>20</v>
      </c>
      <c r="C270">
        <v>72</v>
      </c>
      <c r="D270" t="s">
        <v>72</v>
      </c>
      <c r="E270" t="s">
        <v>69</v>
      </c>
      <c r="F270" t="s">
        <v>58</v>
      </c>
      <c r="G270">
        <v>20</v>
      </c>
      <c r="H270">
        <v>13.95</v>
      </c>
      <c r="I270">
        <v>192</v>
      </c>
      <c r="J270">
        <v>1065.87</v>
      </c>
      <c r="K270">
        <v>0</v>
      </c>
      <c r="L270" t="s">
        <v>62</v>
      </c>
      <c r="M270">
        <v>0</v>
      </c>
      <c r="N270">
        <v>0</v>
      </c>
      <c r="O270">
        <v>40</v>
      </c>
      <c r="P270">
        <v>0</v>
      </c>
      <c r="Q270">
        <v>1</v>
      </c>
      <c r="R270">
        <v>0</v>
      </c>
      <c r="S270" t="s">
        <v>63</v>
      </c>
      <c r="T270">
        <v>0</v>
      </c>
      <c r="U270">
        <v>0</v>
      </c>
      <c r="V270">
        <v>0</v>
      </c>
      <c r="W270">
        <v>0</v>
      </c>
      <c r="X270" t="s">
        <v>58</v>
      </c>
    </row>
    <row r="271" customHeight="1" spans="1:24">
      <c r="A271" t="s">
        <v>334</v>
      </c>
      <c r="B271">
        <v>18</v>
      </c>
      <c r="C271">
        <v>26</v>
      </c>
      <c r="D271" t="s">
        <v>53</v>
      </c>
      <c r="E271" t="s">
        <v>61</v>
      </c>
      <c r="F271" t="s">
        <v>55</v>
      </c>
      <c r="G271">
        <v>457</v>
      </c>
      <c r="H271">
        <v>19.84</v>
      </c>
      <c r="I271">
        <v>223</v>
      </c>
      <c r="J271">
        <v>444.77</v>
      </c>
      <c r="K271">
        <v>0</v>
      </c>
      <c r="L271" t="s">
        <v>62</v>
      </c>
      <c r="M271">
        <v>2</v>
      </c>
      <c r="N271">
        <v>3</v>
      </c>
      <c r="O271">
        <v>4.2</v>
      </c>
      <c r="P271">
        <v>2</v>
      </c>
      <c r="Q271">
        <v>1</v>
      </c>
      <c r="R271">
        <v>0</v>
      </c>
      <c r="S271" t="s">
        <v>63</v>
      </c>
      <c r="T271">
        <v>1</v>
      </c>
      <c r="U271">
        <v>0</v>
      </c>
      <c r="V271">
        <v>0</v>
      </c>
      <c r="W271">
        <v>1</v>
      </c>
      <c r="X271" t="s">
        <v>55</v>
      </c>
    </row>
    <row r="272" customHeight="1" spans="1:24">
      <c r="A272" t="s">
        <v>335</v>
      </c>
      <c r="B272">
        <v>42</v>
      </c>
      <c r="C272">
        <v>67</v>
      </c>
      <c r="D272" t="s">
        <v>72</v>
      </c>
      <c r="E272" t="s">
        <v>69</v>
      </c>
      <c r="F272" t="s">
        <v>58</v>
      </c>
      <c r="G272">
        <v>786</v>
      </c>
      <c r="H272">
        <v>10.18</v>
      </c>
      <c r="I272">
        <v>71</v>
      </c>
      <c r="J272">
        <v>1017.57</v>
      </c>
      <c r="K272">
        <v>0</v>
      </c>
      <c r="L272" t="s">
        <v>62</v>
      </c>
      <c r="M272">
        <v>2</v>
      </c>
      <c r="N272">
        <v>2</v>
      </c>
      <c r="O272">
        <v>31.8</v>
      </c>
      <c r="P272">
        <v>0</v>
      </c>
      <c r="Q272">
        <v>0</v>
      </c>
      <c r="R272">
        <v>0</v>
      </c>
      <c r="S272" t="s">
        <v>63</v>
      </c>
      <c r="T272">
        <v>1</v>
      </c>
      <c r="U272">
        <v>0</v>
      </c>
      <c r="V272">
        <v>0</v>
      </c>
      <c r="W272">
        <v>0</v>
      </c>
      <c r="X272" t="s">
        <v>58</v>
      </c>
    </row>
    <row r="273" customHeight="1" spans="1:24">
      <c r="A273" t="s">
        <v>336</v>
      </c>
      <c r="B273">
        <v>46</v>
      </c>
      <c r="C273">
        <v>4</v>
      </c>
      <c r="D273" t="s">
        <v>60</v>
      </c>
      <c r="E273" t="s">
        <v>69</v>
      </c>
      <c r="F273" t="s">
        <v>58</v>
      </c>
      <c r="G273">
        <v>174</v>
      </c>
      <c r="H273">
        <v>8.08</v>
      </c>
      <c r="I273">
        <v>69</v>
      </c>
      <c r="J273">
        <v>671.82</v>
      </c>
      <c r="K273">
        <v>0</v>
      </c>
      <c r="L273" t="s">
        <v>62</v>
      </c>
      <c r="M273">
        <v>0</v>
      </c>
      <c r="N273">
        <v>2</v>
      </c>
      <c r="O273">
        <v>26.7</v>
      </c>
      <c r="P273">
        <v>0</v>
      </c>
      <c r="Q273">
        <v>0</v>
      </c>
      <c r="R273">
        <v>1</v>
      </c>
      <c r="S273" t="s">
        <v>66</v>
      </c>
      <c r="T273">
        <v>0</v>
      </c>
      <c r="U273">
        <v>0</v>
      </c>
      <c r="V273">
        <v>0</v>
      </c>
      <c r="W273">
        <v>0</v>
      </c>
      <c r="X273" t="s">
        <v>58</v>
      </c>
    </row>
    <row r="274" customHeight="1" spans="1:24">
      <c r="A274" t="s">
        <v>337</v>
      </c>
      <c r="B274">
        <v>54</v>
      </c>
      <c r="C274">
        <v>37</v>
      </c>
      <c r="D274" t="s">
        <v>60</v>
      </c>
      <c r="E274" t="s">
        <v>69</v>
      </c>
      <c r="F274" t="s">
        <v>58</v>
      </c>
      <c r="G274">
        <v>364</v>
      </c>
      <c r="H274">
        <v>6.54</v>
      </c>
      <c r="I274">
        <v>39</v>
      </c>
      <c r="J274">
        <v>663.93</v>
      </c>
      <c r="K274">
        <v>0</v>
      </c>
      <c r="L274" t="s">
        <v>62</v>
      </c>
      <c r="M274">
        <v>1</v>
      </c>
      <c r="N274">
        <v>1</v>
      </c>
      <c r="O274">
        <v>18.5</v>
      </c>
      <c r="P274">
        <v>0</v>
      </c>
      <c r="Q274">
        <v>0</v>
      </c>
      <c r="R274">
        <v>1</v>
      </c>
      <c r="S274" t="s">
        <v>63</v>
      </c>
      <c r="T274">
        <v>1</v>
      </c>
      <c r="U274">
        <v>0</v>
      </c>
      <c r="V274">
        <v>0</v>
      </c>
      <c r="W274">
        <v>0</v>
      </c>
      <c r="X274" t="s">
        <v>58</v>
      </c>
    </row>
    <row r="275" customHeight="1" spans="1:24">
      <c r="A275" t="s">
        <v>338</v>
      </c>
      <c r="B275">
        <v>22</v>
      </c>
      <c r="C275">
        <v>58</v>
      </c>
      <c r="D275" t="s">
        <v>72</v>
      </c>
      <c r="E275" t="s">
        <v>69</v>
      </c>
      <c r="F275" t="s">
        <v>58</v>
      </c>
      <c r="G275">
        <v>399</v>
      </c>
      <c r="H275">
        <v>13.62</v>
      </c>
      <c r="I275">
        <v>211</v>
      </c>
      <c r="J275">
        <v>1280.29</v>
      </c>
      <c r="K275">
        <v>0</v>
      </c>
      <c r="L275" t="s">
        <v>62</v>
      </c>
      <c r="M275">
        <v>1</v>
      </c>
      <c r="N275">
        <v>2</v>
      </c>
      <c r="O275">
        <v>27.9</v>
      </c>
      <c r="P275">
        <v>0</v>
      </c>
      <c r="Q275">
        <v>1</v>
      </c>
      <c r="R275">
        <v>2</v>
      </c>
      <c r="S275" t="s">
        <v>63</v>
      </c>
      <c r="T275">
        <v>1</v>
      </c>
      <c r="U275">
        <v>0</v>
      </c>
      <c r="V275">
        <v>0</v>
      </c>
      <c r="W275">
        <v>0</v>
      </c>
      <c r="X275" t="s">
        <v>58</v>
      </c>
    </row>
    <row r="276" customHeight="1" spans="1:24">
      <c r="A276" t="s">
        <v>339</v>
      </c>
      <c r="B276">
        <v>55</v>
      </c>
      <c r="C276">
        <v>39</v>
      </c>
      <c r="D276" t="s">
        <v>60</v>
      </c>
      <c r="E276" t="s">
        <v>69</v>
      </c>
      <c r="F276" t="s">
        <v>58</v>
      </c>
      <c r="G276">
        <v>331</v>
      </c>
      <c r="H276">
        <v>20.5</v>
      </c>
      <c r="I276">
        <v>198</v>
      </c>
      <c r="J276">
        <v>794.49</v>
      </c>
      <c r="K276">
        <v>0</v>
      </c>
      <c r="L276" t="s">
        <v>62</v>
      </c>
      <c r="M276">
        <v>0</v>
      </c>
      <c r="N276">
        <v>0</v>
      </c>
      <c r="O276">
        <v>3.3</v>
      </c>
      <c r="P276">
        <v>0</v>
      </c>
      <c r="Q276">
        <v>1</v>
      </c>
      <c r="R276">
        <v>0</v>
      </c>
      <c r="S276" t="s">
        <v>63</v>
      </c>
      <c r="T276">
        <v>0</v>
      </c>
      <c r="U276">
        <v>0</v>
      </c>
      <c r="V276">
        <v>0</v>
      </c>
      <c r="W276">
        <v>0</v>
      </c>
      <c r="X276" t="s">
        <v>58</v>
      </c>
    </row>
    <row r="277" customHeight="1" spans="1:24">
      <c r="A277" t="s">
        <v>340</v>
      </c>
      <c r="B277">
        <v>60</v>
      </c>
      <c r="C277">
        <v>68</v>
      </c>
      <c r="D277" t="s">
        <v>60</v>
      </c>
      <c r="E277" t="s">
        <v>69</v>
      </c>
      <c r="F277" t="s">
        <v>55</v>
      </c>
      <c r="G277">
        <v>555</v>
      </c>
      <c r="H277">
        <v>17.41</v>
      </c>
      <c r="I277">
        <v>113</v>
      </c>
      <c r="J277">
        <v>795.53</v>
      </c>
      <c r="K277">
        <v>0</v>
      </c>
      <c r="L277" t="s">
        <v>62</v>
      </c>
      <c r="M277">
        <v>1</v>
      </c>
      <c r="N277">
        <v>1</v>
      </c>
      <c r="O277">
        <v>41.6</v>
      </c>
      <c r="P277">
        <v>4</v>
      </c>
      <c r="Q277">
        <v>2</v>
      </c>
      <c r="R277">
        <v>0</v>
      </c>
      <c r="S277" t="s">
        <v>63</v>
      </c>
      <c r="T277">
        <v>1</v>
      </c>
      <c r="U277">
        <v>0</v>
      </c>
      <c r="V277">
        <v>1</v>
      </c>
      <c r="W277">
        <v>1</v>
      </c>
      <c r="X277" t="s">
        <v>55</v>
      </c>
    </row>
    <row r="278" customHeight="1" spans="1:24">
      <c r="A278" t="s">
        <v>341</v>
      </c>
      <c r="B278">
        <v>21</v>
      </c>
      <c r="C278">
        <v>23</v>
      </c>
      <c r="D278" t="s">
        <v>60</v>
      </c>
      <c r="E278" t="s">
        <v>76</v>
      </c>
      <c r="F278" t="s">
        <v>58</v>
      </c>
      <c r="G278">
        <v>471</v>
      </c>
      <c r="H278">
        <v>17.54</v>
      </c>
      <c r="I278">
        <v>22</v>
      </c>
      <c r="J278">
        <v>778.09</v>
      </c>
      <c r="K278">
        <v>0</v>
      </c>
      <c r="L278" t="s">
        <v>62</v>
      </c>
      <c r="M278">
        <v>0</v>
      </c>
      <c r="N278">
        <v>0</v>
      </c>
      <c r="O278">
        <v>23.7</v>
      </c>
      <c r="P278">
        <v>4</v>
      </c>
      <c r="Q278">
        <v>2</v>
      </c>
      <c r="R278">
        <v>1</v>
      </c>
      <c r="S278" t="s">
        <v>57</v>
      </c>
      <c r="T278">
        <v>0</v>
      </c>
      <c r="U278">
        <v>0</v>
      </c>
      <c r="V278">
        <v>0</v>
      </c>
      <c r="W278">
        <v>0</v>
      </c>
      <c r="X278" t="s">
        <v>58</v>
      </c>
    </row>
    <row r="279" customHeight="1" spans="1:24">
      <c r="A279" t="s">
        <v>342</v>
      </c>
      <c r="B279">
        <v>57</v>
      </c>
      <c r="C279">
        <v>3</v>
      </c>
      <c r="D279" t="s">
        <v>53</v>
      </c>
      <c r="E279" t="s">
        <v>54</v>
      </c>
      <c r="F279" t="s">
        <v>55</v>
      </c>
      <c r="G279">
        <v>423</v>
      </c>
      <c r="H279">
        <v>33.16</v>
      </c>
      <c r="I279">
        <v>29</v>
      </c>
      <c r="J279">
        <v>462.3</v>
      </c>
      <c r="K279">
        <v>1</v>
      </c>
      <c r="L279" t="s">
        <v>56</v>
      </c>
      <c r="M279">
        <v>1</v>
      </c>
      <c r="N279">
        <v>1</v>
      </c>
      <c r="O279">
        <v>13.6</v>
      </c>
      <c r="P279">
        <v>1</v>
      </c>
      <c r="Q279">
        <v>0</v>
      </c>
      <c r="R279">
        <v>0</v>
      </c>
      <c r="S279" t="s">
        <v>66</v>
      </c>
      <c r="T279">
        <v>1</v>
      </c>
      <c r="U279">
        <v>1</v>
      </c>
      <c r="V279">
        <v>0</v>
      </c>
      <c r="W279">
        <v>1</v>
      </c>
      <c r="X279" t="s">
        <v>55</v>
      </c>
    </row>
    <row r="280" customHeight="1" spans="1:24">
      <c r="A280" t="s">
        <v>343</v>
      </c>
      <c r="B280">
        <v>24</v>
      </c>
      <c r="C280">
        <v>56</v>
      </c>
      <c r="D280" t="s">
        <v>53</v>
      </c>
      <c r="E280" t="s">
        <v>61</v>
      </c>
      <c r="F280" t="s">
        <v>58</v>
      </c>
      <c r="G280">
        <v>520</v>
      </c>
      <c r="H280">
        <v>29.22</v>
      </c>
      <c r="I280">
        <v>132</v>
      </c>
      <c r="J280">
        <v>540.3</v>
      </c>
      <c r="K280">
        <v>0</v>
      </c>
      <c r="L280" t="s">
        <v>62</v>
      </c>
      <c r="M280">
        <v>2</v>
      </c>
      <c r="N280">
        <v>2</v>
      </c>
      <c r="O280">
        <v>17</v>
      </c>
      <c r="P280">
        <v>0</v>
      </c>
      <c r="Q280">
        <v>0</v>
      </c>
      <c r="R280">
        <v>0</v>
      </c>
      <c r="S280" t="s">
        <v>63</v>
      </c>
      <c r="T280">
        <v>1</v>
      </c>
      <c r="U280">
        <v>0</v>
      </c>
      <c r="V280">
        <v>0</v>
      </c>
      <c r="W280">
        <v>0</v>
      </c>
      <c r="X280" t="s">
        <v>58</v>
      </c>
    </row>
    <row r="281" customHeight="1" spans="1:24">
      <c r="A281" t="s">
        <v>344</v>
      </c>
      <c r="B281">
        <v>43</v>
      </c>
      <c r="C281">
        <v>5</v>
      </c>
      <c r="D281" t="s">
        <v>53</v>
      </c>
      <c r="E281" t="s">
        <v>61</v>
      </c>
      <c r="F281" t="s">
        <v>58</v>
      </c>
      <c r="G281">
        <v>403</v>
      </c>
      <c r="H281">
        <v>12.15</v>
      </c>
      <c r="I281">
        <v>158</v>
      </c>
      <c r="J281">
        <v>328.58</v>
      </c>
      <c r="K281">
        <v>0</v>
      </c>
      <c r="L281" t="s">
        <v>62</v>
      </c>
      <c r="M281">
        <v>0</v>
      </c>
      <c r="N281">
        <v>0</v>
      </c>
      <c r="O281">
        <v>3.6</v>
      </c>
      <c r="P281">
        <v>1</v>
      </c>
      <c r="Q281">
        <v>1</v>
      </c>
      <c r="R281">
        <v>0</v>
      </c>
      <c r="S281" t="s">
        <v>66</v>
      </c>
      <c r="T281">
        <v>0</v>
      </c>
      <c r="U281">
        <v>0</v>
      </c>
      <c r="V281">
        <v>0</v>
      </c>
      <c r="W281">
        <v>0</v>
      </c>
      <c r="X281" t="s">
        <v>58</v>
      </c>
    </row>
    <row r="282" customHeight="1" spans="1:24">
      <c r="A282" t="s">
        <v>345</v>
      </c>
      <c r="B282">
        <v>56</v>
      </c>
      <c r="C282">
        <v>56</v>
      </c>
      <c r="D282" t="s">
        <v>53</v>
      </c>
      <c r="E282" t="s">
        <v>76</v>
      </c>
      <c r="F282" t="s">
        <v>58</v>
      </c>
      <c r="G282">
        <v>877</v>
      </c>
      <c r="H282">
        <v>4.03</v>
      </c>
      <c r="I282">
        <v>0</v>
      </c>
      <c r="J282">
        <v>462.58</v>
      </c>
      <c r="K282">
        <v>2</v>
      </c>
      <c r="L282" t="s">
        <v>56</v>
      </c>
      <c r="M282">
        <v>2</v>
      </c>
      <c r="N282">
        <v>3</v>
      </c>
      <c r="O282">
        <v>20.2</v>
      </c>
      <c r="P282">
        <v>0</v>
      </c>
      <c r="Q282">
        <v>1</v>
      </c>
      <c r="R282">
        <v>0</v>
      </c>
      <c r="S282" t="s">
        <v>63</v>
      </c>
      <c r="T282">
        <v>1</v>
      </c>
      <c r="U282">
        <v>1</v>
      </c>
      <c r="V282">
        <v>1</v>
      </c>
      <c r="W282">
        <v>0</v>
      </c>
      <c r="X282" t="s">
        <v>58</v>
      </c>
    </row>
    <row r="283" customHeight="1" spans="1:24">
      <c r="A283" t="s">
        <v>346</v>
      </c>
      <c r="B283">
        <v>68</v>
      </c>
      <c r="C283">
        <v>53</v>
      </c>
      <c r="D283" t="s">
        <v>72</v>
      </c>
      <c r="E283" t="s">
        <v>65</v>
      </c>
      <c r="F283" t="s">
        <v>58</v>
      </c>
      <c r="G283">
        <v>423</v>
      </c>
      <c r="H283">
        <v>22.6</v>
      </c>
      <c r="I283">
        <v>98</v>
      </c>
      <c r="J283">
        <v>1187.07</v>
      </c>
      <c r="K283">
        <v>1</v>
      </c>
      <c r="L283" t="s">
        <v>56</v>
      </c>
      <c r="M283">
        <v>1</v>
      </c>
      <c r="N283">
        <v>1</v>
      </c>
      <c r="O283">
        <v>18.2</v>
      </c>
      <c r="P283">
        <v>0</v>
      </c>
      <c r="Q283">
        <v>1</v>
      </c>
      <c r="R283">
        <v>1</v>
      </c>
      <c r="S283" t="s">
        <v>63</v>
      </c>
      <c r="T283">
        <v>1</v>
      </c>
      <c r="U283">
        <v>1</v>
      </c>
      <c r="V283">
        <v>0</v>
      </c>
      <c r="W283">
        <v>0</v>
      </c>
      <c r="X283" t="s">
        <v>58</v>
      </c>
    </row>
    <row r="284" customHeight="1" spans="1:24">
      <c r="A284" t="s">
        <v>347</v>
      </c>
      <c r="B284">
        <v>48</v>
      </c>
      <c r="C284">
        <v>61</v>
      </c>
      <c r="D284" t="s">
        <v>60</v>
      </c>
      <c r="E284" t="s">
        <v>65</v>
      </c>
      <c r="F284" t="s">
        <v>58</v>
      </c>
      <c r="G284">
        <v>429</v>
      </c>
      <c r="H284">
        <v>0.5</v>
      </c>
      <c r="I284">
        <v>233</v>
      </c>
      <c r="J284">
        <v>888.7</v>
      </c>
      <c r="K284">
        <v>1</v>
      </c>
      <c r="L284" t="s">
        <v>56</v>
      </c>
      <c r="M284">
        <v>0</v>
      </c>
      <c r="N284">
        <v>0</v>
      </c>
      <c r="O284">
        <v>8.1</v>
      </c>
      <c r="P284">
        <v>0</v>
      </c>
      <c r="Q284">
        <v>1</v>
      </c>
      <c r="R284">
        <v>1</v>
      </c>
      <c r="S284" t="s">
        <v>63</v>
      </c>
      <c r="T284">
        <v>0</v>
      </c>
      <c r="U284">
        <v>1</v>
      </c>
      <c r="V284">
        <v>1</v>
      </c>
      <c r="W284">
        <v>0</v>
      </c>
      <c r="X284" t="s">
        <v>58</v>
      </c>
    </row>
    <row r="285" customHeight="1" spans="1:24">
      <c r="A285" t="s">
        <v>348</v>
      </c>
      <c r="B285">
        <v>43</v>
      </c>
      <c r="C285">
        <v>35</v>
      </c>
      <c r="D285" t="s">
        <v>60</v>
      </c>
      <c r="E285" t="s">
        <v>69</v>
      </c>
      <c r="F285" t="s">
        <v>58</v>
      </c>
      <c r="G285">
        <v>143</v>
      </c>
      <c r="H285">
        <v>29.1</v>
      </c>
      <c r="I285">
        <v>105</v>
      </c>
      <c r="J285">
        <v>772.85</v>
      </c>
      <c r="K285">
        <v>3</v>
      </c>
      <c r="L285" t="s">
        <v>56</v>
      </c>
      <c r="M285">
        <v>1</v>
      </c>
      <c r="N285">
        <v>3</v>
      </c>
      <c r="O285">
        <v>33.3</v>
      </c>
      <c r="P285">
        <v>2</v>
      </c>
      <c r="Q285">
        <v>0</v>
      </c>
      <c r="R285">
        <v>1</v>
      </c>
      <c r="S285" t="s">
        <v>63</v>
      </c>
      <c r="T285">
        <v>1</v>
      </c>
      <c r="U285">
        <v>1</v>
      </c>
      <c r="V285">
        <v>0</v>
      </c>
      <c r="W285">
        <v>0</v>
      </c>
      <c r="X285" t="s">
        <v>58</v>
      </c>
    </row>
    <row r="286" customHeight="1" spans="1:24">
      <c r="A286" t="s">
        <v>349</v>
      </c>
      <c r="B286">
        <v>66</v>
      </c>
      <c r="C286">
        <v>65</v>
      </c>
      <c r="D286" t="s">
        <v>60</v>
      </c>
      <c r="E286" t="s">
        <v>69</v>
      </c>
      <c r="F286" t="s">
        <v>58</v>
      </c>
      <c r="G286">
        <v>318</v>
      </c>
      <c r="H286">
        <v>15.86</v>
      </c>
      <c r="I286">
        <v>224</v>
      </c>
      <c r="J286">
        <v>813.24</v>
      </c>
      <c r="K286">
        <v>1</v>
      </c>
      <c r="L286" t="s">
        <v>56</v>
      </c>
      <c r="M286">
        <v>0</v>
      </c>
      <c r="N286">
        <v>1</v>
      </c>
      <c r="O286">
        <v>39.3</v>
      </c>
      <c r="P286">
        <v>1</v>
      </c>
      <c r="Q286">
        <v>1</v>
      </c>
      <c r="R286">
        <v>0</v>
      </c>
      <c r="S286" t="s">
        <v>63</v>
      </c>
      <c r="T286">
        <v>0</v>
      </c>
      <c r="U286">
        <v>1</v>
      </c>
      <c r="V286">
        <v>0</v>
      </c>
      <c r="W286">
        <v>0</v>
      </c>
      <c r="X286" t="s">
        <v>58</v>
      </c>
    </row>
    <row r="287" customHeight="1" spans="1:24">
      <c r="A287" t="s">
        <v>350</v>
      </c>
      <c r="B287">
        <v>30</v>
      </c>
      <c r="C287">
        <v>13</v>
      </c>
      <c r="D287" t="s">
        <v>60</v>
      </c>
      <c r="E287" t="s">
        <v>61</v>
      </c>
      <c r="F287" t="s">
        <v>58</v>
      </c>
      <c r="G287">
        <v>572</v>
      </c>
      <c r="H287">
        <v>36.31</v>
      </c>
      <c r="I287">
        <v>165</v>
      </c>
      <c r="J287">
        <v>778.21</v>
      </c>
      <c r="K287">
        <v>0</v>
      </c>
      <c r="L287" t="s">
        <v>62</v>
      </c>
      <c r="M287">
        <v>1</v>
      </c>
      <c r="N287">
        <v>2</v>
      </c>
      <c r="O287">
        <v>23.7</v>
      </c>
      <c r="P287">
        <v>2</v>
      </c>
      <c r="Q287">
        <v>0</v>
      </c>
      <c r="R287">
        <v>4</v>
      </c>
      <c r="S287" t="s">
        <v>57</v>
      </c>
      <c r="T287">
        <v>1</v>
      </c>
      <c r="U287">
        <v>0</v>
      </c>
      <c r="V287">
        <v>0</v>
      </c>
      <c r="W287">
        <v>0</v>
      </c>
      <c r="X287" t="s">
        <v>58</v>
      </c>
    </row>
    <row r="288" customHeight="1" spans="1:24">
      <c r="A288" t="s">
        <v>351</v>
      </c>
      <c r="B288">
        <v>29</v>
      </c>
      <c r="C288">
        <v>32</v>
      </c>
      <c r="D288" t="s">
        <v>60</v>
      </c>
      <c r="E288" t="s">
        <v>61</v>
      </c>
      <c r="F288" t="s">
        <v>58</v>
      </c>
      <c r="G288">
        <v>200</v>
      </c>
      <c r="H288">
        <v>0.73</v>
      </c>
      <c r="I288">
        <v>44</v>
      </c>
      <c r="J288">
        <v>774.7</v>
      </c>
      <c r="K288">
        <v>0</v>
      </c>
      <c r="L288" t="s">
        <v>62</v>
      </c>
      <c r="M288">
        <v>2</v>
      </c>
      <c r="N288">
        <v>2</v>
      </c>
      <c r="O288">
        <v>20.3</v>
      </c>
      <c r="P288">
        <v>1</v>
      </c>
      <c r="Q288">
        <v>2</v>
      </c>
      <c r="R288">
        <v>0</v>
      </c>
      <c r="S288" t="s">
        <v>63</v>
      </c>
      <c r="T288">
        <v>1</v>
      </c>
      <c r="U288">
        <v>0</v>
      </c>
      <c r="V288">
        <v>1</v>
      </c>
      <c r="W288">
        <v>0</v>
      </c>
      <c r="X288" t="s">
        <v>58</v>
      </c>
    </row>
    <row r="289" customHeight="1" spans="1:24">
      <c r="A289" t="s">
        <v>352</v>
      </c>
      <c r="B289">
        <v>45</v>
      </c>
      <c r="C289">
        <v>9</v>
      </c>
      <c r="D289" t="s">
        <v>72</v>
      </c>
      <c r="E289" t="s">
        <v>76</v>
      </c>
      <c r="F289" t="s">
        <v>58</v>
      </c>
      <c r="G289">
        <v>76</v>
      </c>
      <c r="H289">
        <v>27.18</v>
      </c>
      <c r="I289">
        <v>100</v>
      </c>
      <c r="J289">
        <v>1126.59</v>
      </c>
      <c r="K289">
        <v>0</v>
      </c>
      <c r="L289" t="s">
        <v>62</v>
      </c>
      <c r="M289">
        <v>0</v>
      </c>
      <c r="N289">
        <v>0</v>
      </c>
      <c r="O289">
        <v>29.2</v>
      </c>
      <c r="P289">
        <v>3</v>
      </c>
      <c r="Q289">
        <v>1</v>
      </c>
      <c r="R289">
        <v>0</v>
      </c>
      <c r="S289" t="s">
        <v>57</v>
      </c>
      <c r="T289">
        <v>0</v>
      </c>
      <c r="U289">
        <v>0</v>
      </c>
      <c r="V289">
        <v>0</v>
      </c>
      <c r="W289">
        <v>0</v>
      </c>
      <c r="X289" t="s">
        <v>58</v>
      </c>
    </row>
    <row r="290" customHeight="1" spans="1:24">
      <c r="A290" t="s">
        <v>353</v>
      </c>
      <c r="B290">
        <v>24</v>
      </c>
      <c r="C290">
        <v>56</v>
      </c>
      <c r="D290" t="s">
        <v>72</v>
      </c>
      <c r="E290" t="s">
        <v>61</v>
      </c>
      <c r="F290" t="s">
        <v>58</v>
      </c>
      <c r="G290">
        <v>405</v>
      </c>
      <c r="H290">
        <v>16.99</v>
      </c>
      <c r="I290">
        <v>111</v>
      </c>
      <c r="J290">
        <v>1106.23</v>
      </c>
      <c r="K290">
        <v>1</v>
      </c>
      <c r="L290" t="s">
        <v>56</v>
      </c>
      <c r="M290">
        <v>0</v>
      </c>
      <c r="N290">
        <v>0</v>
      </c>
      <c r="O290">
        <v>23.8</v>
      </c>
      <c r="P290">
        <v>3</v>
      </c>
      <c r="Q290">
        <v>0</v>
      </c>
      <c r="R290">
        <v>3</v>
      </c>
      <c r="S290" t="s">
        <v>63</v>
      </c>
      <c r="T290">
        <v>0</v>
      </c>
      <c r="U290">
        <v>1</v>
      </c>
      <c r="V290">
        <v>0</v>
      </c>
      <c r="W290">
        <v>0</v>
      </c>
      <c r="X290" t="s">
        <v>58</v>
      </c>
    </row>
    <row r="291" customHeight="1" spans="1:24">
      <c r="A291" t="s">
        <v>354</v>
      </c>
      <c r="B291">
        <v>19</v>
      </c>
      <c r="C291">
        <v>52</v>
      </c>
      <c r="D291" t="s">
        <v>60</v>
      </c>
      <c r="E291" t="s">
        <v>69</v>
      </c>
      <c r="F291" t="s">
        <v>55</v>
      </c>
      <c r="G291">
        <v>606</v>
      </c>
      <c r="H291">
        <v>17.41</v>
      </c>
      <c r="I291">
        <v>53</v>
      </c>
      <c r="J291">
        <v>1034.53</v>
      </c>
      <c r="K291">
        <v>0</v>
      </c>
      <c r="L291" t="s">
        <v>62</v>
      </c>
      <c r="M291">
        <v>2</v>
      </c>
      <c r="N291">
        <v>2</v>
      </c>
      <c r="O291">
        <v>11</v>
      </c>
      <c r="P291">
        <v>1</v>
      </c>
      <c r="Q291">
        <v>1</v>
      </c>
      <c r="R291">
        <v>0</v>
      </c>
      <c r="S291" t="s">
        <v>63</v>
      </c>
      <c r="T291">
        <v>1</v>
      </c>
      <c r="U291">
        <v>0</v>
      </c>
      <c r="V291">
        <v>1</v>
      </c>
      <c r="W291">
        <v>1</v>
      </c>
      <c r="X291" t="s">
        <v>55</v>
      </c>
    </row>
    <row r="292" customHeight="1" spans="1:24">
      <c r="A292" t="s">
        <v>355</v>
      </c>
      <c r="B292">
        <v>38</v>
      </c>
      <c r="C292">
        <v>59</v>
      </c>
      <c r="D292" t="s">
        <v>53</v>
      </c>
      <c r="E292" t="s">
        <v>61</v>
      </c>
      <c r="F292" t="s">
        <v>58</v>
      </c>
      <c r="G292">
        <v>406</v>
      </c>
      <c r="H292">
        <v>4.3</v>
      </c>
      <c r="I292">
        <v>52</v>
      </c>
      <c r="J292">
        <v>417.64</v>
      </c>
      <c r="K292">
        <v>0</v>
      </c>
      <c r="L292" t="s">
        <v>62</v>
      </c>
      <c r="M292">
        <v>0</v>
      </c>
      <c r="N292">
        <v>1</v>
      </c>
      <c r="O292">
        <v>16.2</v>
      </c>
      <c r="P292">
        <v>0</v>
      </c>
      <c r="Q292">
        <v>0</v>
      </c>
      <c r="R292">
        <v>0</v>
      </c>
      <c r="S292" t="s">
        <v>63</v>
      </c>
      <c r="T292">
        <v>0</v>
      </c>
      <c r="U292">
        <v>0</v>
      </c>
      <c r="V292">
        <v>1</v>
      </c>
      <c r="W292">
        <v>0</v>
      </c>
      <c r="X292" t="s">
        <v>58</v>
      </c>
    </row>
    <row r="293" customHeight="1" spans="1:24">
      <c r="A293" t="s">
        <v>356</v>
      </c>
      <c r="B293">
        <v>26</v>
      </c>
      <c r="C293">
        <v>56</v>
      </c>
      <c r="D293" t="s">
        <v>60</v>
      </c>
      <c r="E293" t="s">
        <v>76</v>
      </c>
      <c r="F293" t="s">
        <v>58</v>
      </c>
      <c r="G293">
        <v>350</v>
      </c>
      <c r="H293">
        <v>23.96</v>
      </c>
      <c r="I293">
        <v>225</v>
      </c>
      <c r="J293">
        <v>757.1</v>
      </c>
      <c r="K293">
        <v>1</v>
      </c>
      <c r="L293" t="s">
        <v>56</v>
      </c>
      <c r="M293">
        <v>0</v>
      </c>
      <c r="N293">
        <v>0</v>
      </c>
      <c r="O293">
        <v>20.4</v>
      </c>
      <c r="P293">
        <v>1</v>
      </c>
      <c r="Q293">
        <v>0</v>
      </c>
      <c r="R293">
        <v>0</v>
      </c>
      <c r="S293" t="s">
        <v>63</v>
      </c>
      <c r="T293">
        <v>0</v>
      </c>
      <c r="U293">
        <v>1</v>
      </c>
      <c r="V293">
        <v>0</v>
      </c>
      <c r="W293">
        <v>0</v>
      </c>
      <c r="X293" t="s">
        <v>58</v>
      </c>
    </row>
    <row r="294" customHeight="1" spans="1:24">
      <c r="A294" t="s">
        <v>357</v>
      </c>
      <c r="B294">
        <v>54</v>
      </c>
      <c r="C294">
        <v>23</v>
      </c>
      <c r="D294" t="s">
        <v>60</v>
      </c>
      <c r="E294" t="s">
        <v>69</v>
      </c>
      <c r="F294" t="s">
        <v>58</v>
      </c>
      <c r="G294">
        <v>121</v>
      </c>
      <c r="H294">
        <v>24.76</v>
      </c>
      <c r="I294">
        <v>52</v>
      </c>
      <c r="J294">
        <v>705.38</v>
      </c>
      <c r="K294">
        <v>1</v>
      </c>
      <c r="L294" t="s">
        <v>56</v>
      </c>
      <c r="M294">
        <v>0</v>
      </c>
      <c r="N294">
        <v>2</v>
      </c>
      <c r="O294">
        <v>27</v>
      </c>
      <c r="P294">
        <v>0</v>
      </c>
      <c r="Q294">
        <v>1</v>
      </c>
      <c r="R294">
        <v>0</v>
      </c>
      <c r="S294" t="s">
        <v>57</v>
      </c>
      <c r="T294">
        <v>0</v>
      </c>
      <c r="U294">
        <v>1</v>
      </c>
      <c r="V294">
        <v>0</v>
      </c>
      <c r="W294">
        <v>0</v>
      </c>
      <c r="X294" t="s">
        <v>58</v>
      </c>
    </row>
    <row r="295" customHeight="1" spans="1:24">
      <c r="A295" t="s">
        <v>358</v>
      </c>
      <c r="B295">
        <v>49</v>
      </c>
      <c r="C295">
        <v>5</v>
      </c>
      <c r="D295" t="s">
        <v>60</v>
      </c>
      <c r="E295" t="s">
        <v>54</v>
      </c>
      <c r="F295" t="s">
        <v>55</v>
      </c>
      <c r="G295">
        <v>468</v>
      </c>
      <c r="H295">
        <v>35.85</v>
      </c>
      <c r="I295">
        <v>195</v>
      </c>
      <c r="J295">
        <v>701.2</v>
      </c>
      <c r="K295">
        <v>1</v>
      </c>
      <c r="L295" t="s">
        <v>56</v>
      </c>
      <c r="M295">
        <v>1</v>
      </c>
      <c r="N295">
        <v>2</v>
      </c>
      <c r="O295">
        <v>24.1</v>
      </c>
      <c r="P295">
        <v>3</v>
      </c>
      <c r="Q295">
        <v>0</v>
      </c>
      <c r="R295">
        <v>1</v>
      </c>
      <c r="S295" t="s">
        <v>66</v>
      </c>
      <c r="T295">
        <v>1</v>
      </c>
      <c r="U295">
        <v>1</v>
      </c>
      <c r="V295">
        <v>0</v>
      </c>
      <c r="W295">
        <v>1</v>
      </c>
      <c r="X295" t="s">
        <v>58</v>
      </c>
    </row>
    <row r="296" customHeight="1" spans="1:24">
      <c r="A296" t="s">
        <v>359</v>
      </c>
      <c r="B296">
        <v>46</v>
      </c>
      <c r="C296">
        <v>67</v>
      </c>
      <c r="D296" t="s">
        <v>60</v>
      </c>
      <c r="E296" t="s">
        <v>69</v>
      </c>
      <c r="F296" t="s">
        <v>55</v>
      </c>
      <c r="G296">
        <v>499</v>
      </c>
      <c r="H296">
        <v>28.08</v>
      </c>
      <c r="I296">
        <v>89</v>
      </c>
      <c r="J296">
        <v>904.44</v>
      </c>
      <c r="K296">
        <v>0</v>
      </c>
      <c r="L296" t="s">
        <v>62</v>
      </c>
      <c r="M296">
        <v>1</v>
      </c>
      <c r="N296">
        <v>1</v>
      </c>
      <c r="O296">
        <v>26.5</v>
      </c>
      <c r="P296">
        <v>2</v>
      </c>
      <c r="Q296">
        <v>2</v>
      </c>
      <c r="R296">
        <v>1</v>
      </c>
      <c r="S296" t="s">
        <v>63</v>
      </c>
      <c r="T296">
        <v>1</v>
      </c>
      <c r="U296">
        <v>0</v>
      </c>
      <c r="V296">
        <v>0</v>
      </c>
      <c r="W296">
        <v>1</v>
      </c>
      <c r="X296" t="s">
        <v>55</v>
      </c>
    </row>
    <row r="297" customHeight="1" spans="1:24">
      <c r="A297" t="s">
        <v>360</v>
      </c>
      <c r="B297">
        <v>46</v>
      </c>
      <c r="C297">
        <v>36</v>
      </c>
      <c r="D297" t="s">
        <v>60</v>
      </c>
      <c r="E297" t="s">
        <v>65</v>
      </c>
      <c r="F297" t="s">
        <v>58</v>
      </c>
      <c r="G297">
        <v>133</v>
      </c>
      <c r="H297">
        <v>12.06</v>
      </c>
      <c r="I297">
        <v>118</v>
      </c>
      <c r="J297">
        <v>682.7</v>
      </c>
      <c r="K297">
        <v>0</v>
      </c>
      <c r="L297" t="s">
        <v>62</v>
      </c>
      <c r="M297">
        <v>0</v>
      </c>
      <c r="N297">
        <v>0</v>
      </c>
      <c r="O297">
        <v>5.7</v>
      </c>
      <c r="P297">
        <v>0</v>
      </c>
      <c r="Q297">
        <v>1</v>
      </c>
      <c r="R297">
        <v>0</v>
      </c>
      <c r="S297" t="s">
        <v>63</v>
      </c>
      <c r="T297">
        <v>0</v>
      </c>
      <c r="U297">
        <v>0</v>
      </c>
      <c r="V297">
        <v>0</v>
      </c>
      <c r="W297">
        <v>0</v>
      </c>
      <c r="X297" t="s">
        <v>58</v>
      </c>
    </row>
    <row r="298" customHeight="1" spans="1:24">
      <c r="A298" t="s">
        <v>361</v>
      </c>
      <c r="B298">
        <v>23</v>
      </c>
      <c r="C298">
        <v>7</v>
      </c>
      <c r="D298" t="s">
        <v>53</v>
      </c>
      <c r="E298" t="s">
        <v>69</v>
      </c>
      <c r="F298" t="s">
        <v>55</v>
      </c>
      <c r="G298">
        <v>570</v>
      </c>
      <c r="H298">
        <v>7.96</v>
      </c>
      <c r="I298">
        <v>159</v>
      </c>
      <c r="J298">
        <v>547.44</v>
      </c>
      <c r="K298">
        <v>0</v>
      </c>
      <c r="L298" t="s">
        <v>62</v>
      </c>
      <c r="M298">
        <v>1</v>
      </c>
      <c r="N298">
        <v>1</v>
      </c>
      <c r="O298">
        <v>32</v>
      </c>
      <c r="P298">
        <v>1</v>
      </c>
      <c r="Q298">
        <v>0</v>
      </c>
      <c r="R298">
        <v>1</v>
      </c>
      <c r="S298" t="s">
        <v>57</v>
      </c>
      <c r="T298">
        <v>1</v>
      </c>
      <c r="U298">
        <v>0</v>
      </c>
      <c r="V298">
        <v>0</v>
      </c>
      <c r="W298">
        <v>1</v>
      </c>
      <c r="X298" t="s">
        <v>55</v>
      </c>
    </row>
    <row r="299" customHeight="1" spans="1:24">
      <c r="A299" t="s">
        <v>362</v>
      </c>
      <c r="B299">
        <v>41</v>
      </c>
      <c r="C299">
        <v>67</v>
      </c>
      <c r="D299" t="s">
        <v>53</v>
      </c>
      <c r="E299" t="s">
        <v>54</v>
      </c>
      <c r="F299" t="s">
        <v>58</v>
      </c>
      <c r="G299">
        <v>515</v>
      </c>
      <c r="H299">
        <v>4.32</v>
      </c>
      <c r="I299">
        <v>78</v>
      </c>
      <c r="J299">
        <v>390.29</v>
      </c>
      <c r="K299">
        <v>0</v>
      </c>
      <c r="L299" t="s">
        <v>62</v>
      </c>
      <c r="M299">
        <v>1</v>
      </c>
      <c r="N299">
        <v>2</v>
      </c>
      <c r="O299">
        <v>24</v>
      </c>
      <c r="P299">
        <v>1</v>
      </c>
      <c r="Q299">
        <v>0</v>
      </c>
      <c r="R299">
        <v>1</v>
      </c>
      <c r="S299" t="s">
        <v>63</v>
      </c>
      <c r="T299">
        <v>1</v>
      </c>
      <c r="U299">
        <v>0</v>
      </c>
      <c r="V299">
        <v>1</v>
      </c>
      <c r="W299">
        <v>0</v>
      </c>
      <c r="X299" t="s">
        <v>58</v>
      </c>
    </row>
    <row r="300" customHeight="1" spans="1:24">
      <c r="A300" t="s">
        <v>363</v>
      </c>
      <c r="B300">
        <v>22</v>
      </c>
      <c r="C300">
        <v>72</v>
      </c>
      <c r="D300" t="s">
        <v>60</v>
      </c>
      <c r="E300" t="s">
        <v>65</v>
      </c>
      <c r="F300" t="s">
        <v>58</v>
      </c>
      <c r="G300">
        <v>570</v>
      </c>
      <c r="H300">
        <v>17.41</v>
      </c>
      <c r="I300">
        <v>160</v>
      </c>
      <c r="J300">
        <v>674.24</v>
      </c>
      <c r="K300">
        <v>0</v>
      </c>
      <c r="L300" t="s">
        <v>62</v>
      </c>
      <c r="M300">
        <v>1</v>
      </c>
      <c r="N300">
        <v>2</v>
      </c>
      <c r="O300">
        <v>54.6</v>
      </c>
      <c r="P300">
        <v>0</v>
      </c>
      <c r="Q300">
        <v>0</v>
      </c>
      <c r="R300">
        <v>0</v>
      </c>
      <c r="S300" t="s">
        <v>63</v>
      </c>
      <c r="T300">
        <v>1</v>
      </c>
      <c r="U300">
        <v>0</v>
      </c>
      <c r="V300">
        <v>1</v>
      </c>
      <c r="W300">
        <v>0</v>
      </c>
      <c r="X300" t="s">
        <v>58</v>
      </c>
    </row>
    <row r="301" customHeight="1" spans="1:24">
      <c r="A301" t="s">
        <v>364</v>
      </c>
      <c r="B301">
        <v>38</v>
      </c>
      <c r="C301">
        <v>33</v>
      </c>
      <c r="D301" t="s">
        <v>53</v>
      </c>
      <c r="E301" t="s">
        <v>65</v>
      </c>
      <c r="F301" t="s">
        <v>58</v>
      </c>
      <c r="G301">
        <v>488</v>
      </c>
      <c r="H301">
        <v>10.22</v>
      </c>
      <c r="I301">
        <v>0</v>
      </c>
      <c r="J301">
        <v>391.79</v>
      </c>
      <c r="K301">
        <v>0</v>
      </c>
      <c r="L301" t="s">
        <v>62</v>
      </c>
      <c r="M301">
        <v>2</v>
      </c>
      <c r="N301">
        <v>3</v>
      </c>
      <c r="O301">
        <v>19.3</v>
      </c>
      <c r="P301">
        <v>0</v>
      </c>
      <c r="Q301">
        <v>1</v>
      </c>
      <c r="R301">
        <v>0</v>
      </c>
      <c r="S301" t="s">
        <v>63</v>
      </c>
      <c r="T301">
        <v>1</v>
      </c>
      <c r="U301">
        <v>0</v>
      </c>
      <c r="V301">
        <v>0</v>
      </c>
      <c r="W301">
        <v>0</v>
      </c>
      <c r="X301" t="s">
        <v>58</v>
      </c>
    </row>
    <row r="302" customHeight="1" spans="1:24">
      <c r="A302" t="s">
        <v>365</v>
      </c>
      <c r="B302">
        <v>57</v>
      </c>
      <c r="C302">
        <v>56</v>
      </c>
      <c r="D302" t="s">
        <v>53</v>
      </c>
      <c r="E302" t="s">
        <v>54</v>
      </c>
      <c r="F302" t="s">
        <v>58</v>
      </c>
      <c r="G302">
        <v>498</v>
      </c>
      <c r="H302">
        <v>32.8</v>
      </c>
      <c r="I302">
        <v>151</v>
      </c>
      <c r="J302">
        <v>325.65</v>
      </c>
      <c r="K302">
        <v>0</v>
      </c>
      <c r="L302" t="s">
        <v>62</v>
      </c>
      <c r="M302">
        <v>1</v>
      </c>
      <c r="N302">
        <v>2</v>
      </c>
      <c r="O302">
        <v>27.9</v>
      </c>
      <c r="P302">
        <v>1</v>
      </c>
      <c r="Q302">
        <v>1</v>
      </c>
      <c r="R302">
        <v>0</v>
      </c>
      <c r="S302" t="s">
        <v>63</v>
      </c>
      <c r="T302">
        <v>1</v>
      </c>
      <c r="U302">
        <v>0</v>
      </c>
      <c r="V302">
        <v>0</v>
      </c>
      <c r="W302">
        <v>0</v>
      </c>
      <c r="X302" t="s">
        <v>58</v>
      </c>
    </row>
    <row r="303" customHeight="1" spans="1:24">
      <c r="A303" t="s">
        <v>366</v>
      </c>
      <c r="B303">
        <v>75</v>
      </c>
      <c r="C303">
        <v>3</v>
      </c>
      <c r="D303" t="s">
        <v>60</v>
      </c>
      <c r="E303" t="s">
        <v>54</v>
      </c>
      <c r="F303" t="s">
        <v>58</v>
      </c>
      <c r="G303">
        <v>478</v>
      </c>
      <c r="H303">
        <v>23.25</v>
      </c>
      <c r="I303">
        <v>0</v>
      </c>
      <c r="J303">
        <v>1029.97</v>
      </c>
      <c r="K303">
        <v>0</v>
      </c>
      <c r="L303" t="s">
        <v>62</v>
      </c>
      <c r="M303">
        <v>0</v>
      </c>
      <c r="N303">
        <v>2</v>
      </c>
      <c r="O303">
        <v>58</v>
      </c>
      <c r="P303">
        <v>1</v>
      </c>
      <c r="Q303">
        <v>0</v>
      </c>
      <c r="R303">
        <v>2</v>
      </c>
      <c r="S303" t="s">
        <v>66</v>
      </c>
      <c r="T303">
        <v>0</v>
      </c>
      <c r="U303">
        <v>0</v>
      </c>
      <c r="V303">
        <v>0</v>
      </c>
      <c r="W303">
        <v>0</v>
      </c>
      <c r="X303" t="s">
        <v>58</v>
      </c>
    </row>
    <row r="304" customHeight="1" spans="1:24">
      <c r="A304" t="s">
        <v>367</v>
      </c>
      <c r="B304">
        <v>35</v>
      </c>
      <c r="C304">
        <v>7</v>
      </c>
      <c r="D304" t="s">
        <v>60</v>
      </c>
      <c r="E304" t="s">
        <v>54</v>
      </c>
      <c r="F304" t="s">
        <v>58</v>
      </c>
      <c r="G304">
        <v>530</v>
      </c>
      <c r="H304">
        <v>21.3</v>
      </c>
      <c r="I304">
        <v>104</v>
      </c>
      <c r="J304">
        <v>713.33</v>
      </c>
      <c r="K304">
        <v>0</v>
      </c>
      <c r="L304" t="s">
        <v>62</v>
      </c>
      <c r="M304">
        <v>0</v>
      </c>
      <c r="N304">
        <v>0</v>
      </c>
      <c r="O304">
        <v>26.3</v>
      </c>
      <c r="P304">
        <v>1</v>
      </c>
      <c r="Q304">
        <v>0</v>
      </c>
      <c r="R304">
        <v>0</v>
      </c>
      <c r="S304" t="s">
        <v>57</v>
      </c>
      <c r="T304">
        <v>0</v>
      </c>
      <c r="U304">
        <v>0</v>
      </c>
      <c r="V304">
        <v>0</v>
      </c>
      <c r="W304">
        <v>0</v>
      </c>
      <c r="X304" t="s">
        <v>58</v>
      </c>
    </row>
    <row r="305" customHeight="1" spans="1:24">
      <c r="A305" t="s">
        <v>368</v>
      </c>
      <c r="B305">
        <v>33</v>
      </c>
      <c r="C305">
        <v>20</v>
      </c>
      <c r="D305" t="s">
        <v>53</v>
      </c>
      <c r="E305" t="s">
        <v>54</v>
      </c>
      <c r="F305" t="s">
        <v>58</v>
      </c>
      <c r="G305">
        <v>127</v>
      </c>
      <c r="H305">
        <v>14.93</v>
      </c>
      <c r="I305">
        <v>180</v>
      </c>
      <c r="J305">
        <v>523.22</v>
      </c>
      <c r="K305">
        <v>1</v>
      </c>
      <c r="L305" t="s">
        <v>56</v>
      </c>
      <c r="M305">
        <v>0</v>
      </c>
      <c r="N305">
        <v>0</v>
      </c>
      <c r="O305">
        <v>23.7</v>
      </c>
      <c r="P305">
        <v>1</v>
      </c>
      <c r="Q305">
        <v>0</v>
      </c>
      <c r="R305">
        <v>1</v>
      </c>
      <c r="S305" t="s">
        <v>57</v>
      </c>
      <c r="T305">
        <v>0</v>
      </c>
      <c r="U305">
        <v>1</v>
      </c>
      <c r="V305">
        <v>0</v>
      </c>
      <c r="W305">
        <v>0</v>
      </c>
      <c r="X305" t="s">
        <v>58</v>
      </c>
    </row>
    <row r="306" customHeight="1" spans="1:24">
      <c r="A306" t="s">
        <v>369</v>
      </c>
      <c r="B306">
        <v>56</v>
      </c>
      <c r="C306">
        <v>48</v>
      </c>
      <c r="D306" t="s">
        <v>60</v>
      </c>
      <c r="E306" t="s">
        <v>69</v>
      </c>
      <c r="F306" t="s">
        <v>58</v>
      </c>
      <c r="G306">
        <v>175</v>
      </c>
      <c r="H306">
        <v>24.61</v>
      </c>
      <c r="I306">
        <v>164</v>
      </c>
      <c r="J306">
        <v>840</v>
      </c>
      <c r="K306">
        <v>0</v>
      </c>
      <c r="L306" t="s">
        <v>62</v>
      </c>
      <c r="M306">
        <v>3</v>
      </c>
      <c r="N306">
        <v>3</v>
      </c>
      <c r="O306">
        <v>12.2</v>
      </c>
      <c r="P306">
        <v>0</v>
      </c>
      <c r="Q306">
        <v>2</v>
      </c>
      <c r="R306">
        <v>0</v>
      </c>
      <c r="S306" t="s">
        <v>63</v>
      </c>
      <c r="T306">
        <v>1</v>
      </c>
      <c r="U306">
        <v>0</v>
      </c>
      <c r="V306">
        <v>0</v>
      </c>
      <c r="W306">
        <v>0</v>
      </c>
      <c r="X306" t="s">
        <v>58</v>
      </c>
    </row>
    <row r="307" customHeight="1" spans="1:24">
      <c r="A307" t="s">
        <v>370</v>
      </c>
      <c r="B307">
        <v>71</v>
      </c>
      <c r="C307">
        <v>10</v>
      </c>
      <c r="D307" t="s">
        <v>72</v>
      </c>
      <c r="E307" t="s">
        <v>76</v>
      </c>
      <c r="F307" t="s">
        <v>58</v>
      </c>
      <c r="G307">
        <v>290</v>
      </c>
      <c r="H307">
        <v>17.85</v>
      </c>
      <c r="I307">
        <v>29</v>
      </c>
      <c r="J307">
        <v>992.4</v>
      </c>
      <c r="K307">
        <v>1</v>
      </c>
      <c r="L307" t="s">
        <v>56</v>
      </c>
      <c r="M307">
        <v>1</v>
      </c>
      <c r="N307">
        <v>4</v>
      </c>
      <c r="O307">
        <v>42.3</v>
      </c>
      <c r="P307">
        <v>1</v>
      </c>
      <c r="Q307">
        <v>1</v>
      </c>
      <c r="R307">
        <v>2</v>
      </c>
      <c r="S307" t="s">
        <v>57</v>
      </c>
      <c r="T307">
        <v>1</v>
      </c>
      <c r="U307">
        <v>1</v>
      </c>
      <c r="V307">
        <v>0</v>
      </c>
      <c r="W307">
        <v>0</v>
      </c>
      <c r="X307" t="s">
        <v>58</v>
      </c>
    </row>
    <row r="308" customHeight="1" spans="1:24">
      <c r="A308" t="s">
        <v>371</v>
      </c>
      <c r="B308">
        <v>35</v>
      </c>
      <c r="C308">
        <v>3</v>
      </c>
      <c r="D308" t="s">
        <v>53</v>
      </c>
      <c r="E308" t="s">
        <v>76</v>
      </c>
      <c r="F308" t="s">
        <v>55</v>
      </c>
      <c r="G308">
        <v>381</v>
      </c>
      <c r="H308">
        <v>14.31</v>
      </c>
      <c r="I308">
        <v>38</v>
      </c>
      <c r="J308">
        <v>502.48</v>
      </c>
      <c r="K308">
        <v>0</v>
      </c>
      <c r="L308" t="s">
        <v>62</v>
      </c>
      <c r="M308">
        <v>0</v>
      </c>
      <c r="N308">
        <v>0</v>
      </c>
      <c r="O308">
        <v>10.1</v>
      </c>
      <c r="P308">
        <v>1</v>
      </c>
      <c r="Q308">
        <v>0</v>
      </c>
      <c r="R308">
        <v>1</v>
      </c>
      <c r="S308" t="s">
        <v>66</v>
      </c>
      <c r="T308">
        <v>0</v>
      </c>
      <c r="U308">
        <v>0</v>
      </c>
      <c r="V308">
        <v>0</v>
      </c>
      <c r="W308">
        <v>1</v>
      </c>
      <c r="X308" t="s">
        <v>58</v>
      </c>
    </row>
    <row r="309" customHeight="1" spans="1:24">
      <c r="A309" t="s">
        <v>372</v>
      </c>
      <c r="B309">
        <v>66</v>
      </c>
      <c r="C309">
        <v>49</v>
      </c>
      <c r="D309" t="s">
        <v>72</v>
      </c>
      <c r="E309" t="s">
        <v>65</v>
      </c>
      <c r="F309" t="s">
        <v>58</v>
      </c>
      <c r="G309">
        <v>458</v>
      </c>
      <c r="H309">
        <v>24.96</v>
      </c>
      <c r="I309">
        <v>72</v>
      </c>
      <c r="J309">
        <v>1279.96</v>
      </c>
      <c r="K309">
        <v>0</v>
      </c>
      <c r="L309" t="s">
        <v>62</v>
      </c>
      <c r="M309">
        <v>0</v>
      </c>
      <c r="N309">
        <v>0</v>
      </c>
      <c r="O309">
        <v>29.1</v>
      </c>
      <c r="P309">
        <v>0</v>
      </c>
      <c r="Q309">
        <v>0</v>
      </c>
      <c r="R309">
        <v>0</v>
      </c>
      <c r="S309" t="s">
        <v>63</v>
      </c>
      <c r="T309">
        <v>0</v>
      </c>
      <c r="U309">
        <v>0</v>
      </c>
      <c r="V309">
        <v>0</v>
      </c>
      <c r="W309">
        <v>0</v>
      </c>
      <c r="X309" t="s">
        <v>58</v>
      </c>
    </row>
    <row r="310" customHeight="1" spans="1:24">
      <c r="A310" t="s">
        <v>373</v>
      </c>
      <c r="B310">
        <v>36</v>
      </c>
      <c r="C310">
        <v>56</v>
      </c>
      <c r="D310" t="s">
        <v>72</v>
      </c>
      <c r="E310" t="s">
        <v>76</v>
      </c>
      <c r="F310" t="s">
        <v>58</v>
      </c>
      <c r="G310">
        <v>449</v>
      </c>
      <c r="H310">
        <v>16.56</v>
      </c>
      <c r="I310">
        <v>133</v>
      </c>
      <c r="J310">
        <v>1187.55</v>
      </c>
      <c r="K310">
        <v>0</v>
      </c>
      <c r="L310" t="s">
        <v>62</v>
      </c>
      <c r="M310">
        <v>3</v>
      </c>
      <c r="N310">
        <v>5</v>
      </c>
      <c r="O310">
        <v>18.3</v>
      </c>
      <c r="P310">
        <v>0</v>
      </c>
      <c r="Q310">
        <v>1</v>
      </c>
      <c r="R310">
        <v>0</v>
      </c>
      <c r="S310" t="s">
        <v>63</v>
      </c>
      <c r="T310">
        <v>1</v>
      </c>
      <c r="U310">
        <v>0</v>
      </c>
      <c r="V310">
        <v>0</v>
      </c>
      <c r="W310">
        <v>0</v>
      </c>
      <c r="X310" t="s">
        <v>58</v>
      </c>
    </row>
    <row r="311" customHeight="1" spans="1:24">
      <c r="A311" t="s">
        <v>374</v>
      </c>
      <c r="B311">
        <v>55</v>
      </c>
      <c r="C311">
        <v>54</v>
      </c>
      <c r="D311" t="s">
        <v>60</v>
      </c>
      <c r="E311" t="s">
        <v>61</v>
      </c>
      <c r="F311" t="s">
        <v>58</v>
      </c>
      <c r="G311">
        <v>568</v>
      </c>
      <c r="H311">
        <v>10.02</v>
      </c>
      <c r="I311">
        <v>0</v>
      </c>
      <c r="J311">
        <v>732.2</v>
      </c>
      <c r="K311">
        <v>0</v>
      </c>
      <c r="L311" t="s">
        <v>62</v>
      </c>
      <c r="M311">
        <v>0</v>
      </c>
      <c r="N311">
        <v>0</v>
      </c>
      <c r="O311">
        <v>21.7</v>
      </c>
      <c r="P311">
        <v>2</v>
      </c>
      <c r="Q311">
        <v>0</v>
      </c>
      <c r="R311">
        <v>0</v>
      </c>
      <c r="S311" t="s">
        <v>63</v>
      </c>
      <c r="T311">
        <v>0</v>
      </c>
      <c r="U311">
        <v>0</v>
      </c>
      <c r="V311">
        <v>0</v>
      </c>
      <c r="W311">
        <v>0</v>
      </c>
      <c r="X311" t="s">
        <v>58</v>
      </c>
    </row>
    <row r="312" customHeight="1" spans="1:24">
      <c r="A312" t="s">
        <v>375</v>
      </c>
      <c r="B312">
        <v>30</v>
      </c>
      <c r="C312">
        <v>58</v>
      </c>
      <c r="D312" t="s">
        <v>60</v>
      </c>
      <c r="E312" t="s">
        <v>54</v>
      </c>
      <c r="F312" t="s">
        <v>58</v>
      </c>
      <c r="G312">
        <v>572</v>
      </c>
      <c r="H312">
        <v>24</v>
      </c>
      <c r="I312">
        <v>119</v>
      </c>
      <c r="J312">
        <v>825.78</v>
      </c>
      <c r="K312">
        <v>0</v>
      </c>
      <c r="L312" t="s">
        <v>62</v>
      </c>
      <c r="M312">
        <v>1</v>
      </c>
      <c r="N312">
        <v>1</v>
      </c>
      <c r="O312">
        <v>6.9</v>
      </c>
      <c r="P312">
        <v>1</v>
      </c>
      <c r="Q312">
        <v>1</v>
      </c>
      <c r="R312">
        <v>0</v>
      </c>
      <c r="S312" t="s">
        <v>63</v>
      </c>
      <c r="T312">
        <v>1</v>
      </c>
      <c r="U312">
        <v>0</v>
      </c>
      <c r="V312">
        <v>0</v>
      </c>
      <c r="W312">
        <v>0</v>
      </c>
      <c r="X312" t="s">
        <v>58</v>
      </c>
    </row>
    <row r="313" customHeight="1" spans="1:24">
      <c r="A313" t="s">
        <v>376</v>
      </c>
      <c r="B313">
        <v>33</v>
      </c>
      <c r="C313">
        <v>58</v>
      </c>
      <c r="D313" t="s">
        <v>53</v>
      </c>
      <c r="E313" t="s">
        <v>61</v>
      </c>
      <c r="F313" t="s">
        <v>58</v>
      </c>
      <c r="G313">
        <v>269</v>
      </c>
      <c r="H313">
        <v>17.36</v>
      </c>
      <c r="I313">
        <v>142</v>
      </c>
      <c r="J313">
        <v>525.53</v>
      </c>
      <c r="K313">
        <v>0</v>
      </c>
      <c r="L313" t="s">
        <v>62</v>
      </c>
      <c r="M313">
        <v>1</v>
      </c>
      <c r="N313">
        <v>1</v>
      </c>
      <c r="O313">
        <v>40.1</v>
      </c>
      <c r="P313">
        <v>3</v>
      </c>
      <c r="Q313">
        <v>0</v>
      </c>
      <c r="R313">
        <v>0</v>
      </c>
      <c r="S313" t="s">
        <v>63</v>
      </c>
      <c r="T313">
        <v>1</v>
      </c>
      <c r="U313">
        <v>0</v>
      </c>
      <c r="V313">
        <v>0</v>
      </c>
      <c r="W313">
        <v>0</v>
      </c>
      <c r="X313" t="s">
        <v>58</v>
      </c>
    </row>
    <row r="314" customHeight="1" spans="1:24">
      <c r="A314" t="s">
        <v>377</v>
      </c>
      <c r="B314">
        <v>75</v>
      </c>
      <c r="C314">
        <v>44</v>
      </c>
      <c r="D314" t="s">
        <v>72</v>
      </c>
      <c r="E314" t="s">
        <v>69</v>
      </c>
      <c r="F314" t="s">
        <v>58</v>
      </c>
      <c r="G314">
        <v>436</v>
      </c>
      <c r="H314">
        <v>22.89</v>
      </c>
      <c r="I314">
        <v>100</v>
      </c>
      <c r="J314">
        <v>1058.67</v>
      </c>
      <c r="K314">
        <v>0</v>
      </c>
      <c r="L314" t="s">
        <v>62</v>
      </c>
      <c r="M314">
        <v>0</v>
      </c>
      <c r="N314">
        <v>2</v>
      </c>
      <c r="O314">
        <v>20.7</v>
      </c>
      <c r="P314">
        <v>2</v>
      </c>
      <c r="Q314">
        <v>0</v>
      </c>
      <c r="R314">
        <v>0</v>
      </c>
      <c r="S314" t="s">
        <v>63</v>
      </c>
      <c r="T314">
        <v>0</v>
      </c>
      <c r="U314">
        <v>0</v>
      </c>
      <c r="V314">
        <v>0</v>
      </c>
      <c r="W314">
        <v>0</v>
      </c>
      <c r="X314" t="s">
        <v>58</v>
      </c>
    </row>
    <row r="315" customHeight="1" spans="1:24">
      <c r="A315" t="s">
        <v>378</v>
      </c>
      <c r="B315">
        <v>40</v>
      </c>
      <c r="C315">
        <v>38</v>
      </c>
      <c r="D315" t="s">
        <v>60</v>
      </c>
      <c r="E315" t="s">
        <v>76</v>
      </c>
      <c r="F315" t="s">
        <v>58</v>
      </c>
      <c r="G315">
        <v>273</v>
      </c>
      <c r="H315">
        <v>13.46</v>
      </c>
      <c r="I315">
        <v>157</v>
      </c>
      <c r="J315">
        <v>730.12</v>
      </c>
      <c r="K315">
        <v>1</v>
      </c>
      <c r="L315" t="s">
        <v>56</v>
      </c>
      <c r="M315">
        <v>3</v>
      </c>
      <c r="N315">
        <v>3</v>
      </c>
      <c r="O315">
        <v>9.4</v>
      </c>
      <c r="P315">
        <v>0</v>
      </c>
      <c r="Q315">
        <v>0</v>
      </c>
      <c r="R315">
        <v>0</v>
      </c>
      <c r="S315" t="s">
        <v>63</v>
      </c>
      <c r="T315">
        <v>1</v>
      </c>
      <c r="U315">
        <v>1</v>
      </c>
      <c r="V315">
        <v>0</v>
      </c>
      <c r="W315">
        <v>0</v>
      </c>
      <c r="X315" t="s">
        <v>58</v>
      </c>
    </row>
    <row r="316" customHeight="1" spans="1:24">
      <c r="A316" t="s">
        <v>379</v>
      </c>
      <c r="B316">
        <v>18</v>
      </c>
      <c r="C316">
        <v>62</v>
      </c>
      <c r="D316" t="s">
        <v>72</v>
      </c>
      <c r="E316" t="s">
        <v>61</v>
      </c>
      <c r="F316" t="s">
        <v>58</v>
      </c>
      <c r="G316">
        <v>372</v>
      </c>
      <c r="H316">
        <v>5.91</v>
      </c>
      <c r="I316">
        <v>136</v>
      </c>
      <c r="J316">
        <v>1278.16</v>
      </c>
      <c r="K316">
        <v>0</v>
      </c>
      <c r="L316" t="s">
        <v>62</v>
      </c>
      <c r="M316">
        <v>0</v>
      </c>
      <c r="N316">
        <v>0</v>
      </c>
      <c r="O316">
        <v>39</v>
      </c>
      <c r="P316">
        <v>3</v>
      </c>
      <c r="Q316">
        <v>0</v>
      </c>
      <c r="R316">
        <v>1</v>
      </c>
      <c r="S316" t="s">
        <v>63</v>
      </c>
      <c r="T316">
        <v>0</v>
      </c>
      <c r="U316">
        <v>0</v>
      </c>
      <c r="V316">
        <v>0</v>
      </c>
      <c r="W316">
        <v>0</v>
      </c>
      <c r="X316" t="s">
        <v>58</v>
      </c>
    </row>
    <row r="317" customHeight="1" spans="1:24">
      <c r="A317" t="s">
        <v>380</v>
      </c>
      <c r="B317">
        <v>62</v>
      </c>
      <c r="C317">
        <v>26</v>
      </c>
      <c r="D317" t="s">
        <v>60</v>
      </c>
      <c r="E317" t="s">
        <v>61</v>
      </c>
      <c r="F317" t="s">
        <v>58</v>
      </c>
      <c r="G317">
        <v>448</v>
      </c>
      <c r="H317">
        <v>35.35</v>
      </c>
      <c r="I317">
        <v>82</v>
      </c>
      <c r="J317">
        <v>789.7</v>
      </c>
      <c r="K317">
        <v>0</v>
      </c>
      <c r="L317" t="s">
        <v>62</v>
      </c>
      <c r="M317">
        <v>2</v>
      </c>
      <c r="N317">
        <v>3</v>
      </c>
      <c r="O317">
        <v>18</v>
      </c>
      <c r="P317">
        <v>2</v>
      </c>
      <c r="Q317">
        <v>2</v>
      </c>
      <c r="R317">
        <v>0</v>
      </c>
      <c r="S317" t="s">
        <v>63</v>
      </c>
      <c r="T317">
        <v>1</v>
      </c>
      <c r="U317">
        <v>0</v>
      </c>
      <c r="V317">
        <v>0</v>
      </c>
      <c r="W317">
        <v>0</v>
      </c>
      <c r="X317" t="s">
        <v>58</v>
      </c>
    </row>
    <row r="318" customHeight="1" spans="1:24">
      <c r="A318" t="s">
        <v>381</v>
      </c>
      <c r="B318">
        <v>25</v>
      </c>
      <c r="C318">
        <v>8</v>
      </c>
      <c r="D318" t="s">
        <v>53</v>
      </c>
      <c r="E318" t="s">
        <v>61</v>
      </c>
      <c r="F318" t="s">
        <v>58</v>
      </c>
      <c r="G318">
        <v>20</v>
      </c>
      <c r="H318">
        <v>33.47</v>
      </c>
      <c r="I318">
        <v>0</v>
      </c>
      <c r="J318">
        <v>511.04</v>
      </c>
      <c r="K318">
        <v>1</v>
      </c>
      <c r="L318" t="s">
        <v>56</v>
      </c>
      <c r="M318">
        <v>1</v>
      </c>
      <c r="N318">
        <v>1</v>
      </c>
      <c r="O318">
        <v>28</v>
      </c>
      <c r="P318">
        <v>0</v>
      </c>
      <c r="Q318">
        <v>2</v>
      </c>
      <c r="R318">
        <v>0</v>
      </c>
      <c r="S318" t="s">
        <v>57</v>
      </c>
      <c r="T318">
        <v>1</v>
      </c>
      <c r="U318">
        <v>1</v>
      </c>
      <c r="V318">
        <v>0</v>
      </c>
      <c r="W318">
        <v>0</v>
      </c>
      <c r="X318" t="s">
        <v>58</v>
      </c>
    </row>
    <row r="319" customHeight="1" spans="1:24">
      <c r="A319" t="s">
        <v>382</v>
      </c>
      <c r="B319">
        <v>24</v>
      </c>
      <c r="C319">
        <v>55</v>
      </c>
      <c r="D319" t="s">
        <v>53</v>
      </c>
      <c r="E319" t="s">
        <v>61</v>
      </c>
      <c r="F319" t="s">
        <v>55</v>
      </c>
      <c r="G319">
        <v>762</v>
      </c>
      <c r="H319">
        <v>26.84</v>
      </c>
      <c r="I319">
        <v>129</v>
      </c>
      <c r="J319">
        <v>401.39</v>
      </c>
      <c r="K319">
        <v>1</v>
      </c>
      <c r="L319" t="s">
        <v>56</v>
      </c>
      <c r="M319">
        <v>0</v>
      </c>
      <c r="N319">
        <v>0</v>
      </c>
      <c r="O319">
        <v>34.1</v>
      </c>
      <c r="P319">
        <v>0</v>
      </c>
      <c r="Q319">
        <v>2</v>
      </c>
      <c r="R319">
        <v>1</v>
      </c>
      <c r="S319" t="s">
        <v>63</v>
      </c>
      <c r="T319">
        <v>0</v>
      </c>
      <c r="U319">
        <v>1</v>
      </c>
      <c r="V319">
        <v>0</v>
      </c>
      <c r="W319">
        <v>1</v>
      </c>
      <c r="X319" t="s">
        <v>58</v>
      </c>
    </row>
    <row r="320" customHeight="1" spans="1:24">
      <c r="A320" t="s">
        <v>383</v>
      </c>
      <c r="B320">
        <v>66</v>
      </c>
      <c r="C320">
        <v>20</v>
      </c>
      <c r="D320" t="s">
        <v>60</v>
      </c>
      <c r="E320" t="s">
        <v>61</v>
      </c>
      <c r="F320" t="s">
        <v>58</v>
      </c>
      <c r="G320">
        <v>485</v>
      </c>
      <c r="H320">
        <v>14.12</v>
      </c>
      <c r="I320">
        <v>53</v>
      </c>
      <c r="J320">
        <v>825.94</v>
      </c>
      <c r="K320">
        <v>0</v>
      </c>
      <c r="L320" t="s">
        <v>62</v>
      </c>
      <c r="M320">
        <v>2</v>
      </c>
      <c r="N320">
        <v>4</v>
      </c>
      <c r="O320">
        <v>29.7</v>
      </c>
      <c r="P320">
        <v>0</v>
      </c>
      <c r="Q320">
        <v>0</v>
      </c>
      <c r="R320">
        <v>0</v>
      </c>
      <c r="S320" t="s">
        <v>57</v>
      </c>
      <c r="T320">
        <v>1</v>
      </c>
      <c r="U320">
        <v>0</v>
      </c>
      <c r="V320">
        <v>0</v>
      </c>
      <c r="W320">
        <v>0</v>
      </c>
      <c r="X320" t="s">
        <v>58</v>
      </c>
    </row>
    <row r="321" customHeight="1" spans="1:24">
      <c r="A321" t="s">
        <v>384</v>
      </c>
      <c r="B321">
        <v>38</v>
      </c>
      <c r="C321">
        <v>71</v>
      </c>
      <c r="D321" t="s">
        <v>60</v>
      </c>
      <c r="E321" t="s">
        <v>61</v>
      </c>
      <c r="F321" t="s">
        <v>58</v>
      </c>
      <c r="G321">
        <v>311</v>
      </c>
      <c r="H321">
        <v>15</v>
      </c>
      <c r="I321">
        <v>80</v>
      </c>
      <c r="J321">
        <v>780.3</v>
      </c>
      <c r="K321">
        <v>1</v>
      </c>
      <c r="L321" t="s">
        <v>56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2</v>
      </c>
      <c r="S321" t="s">
        <v>63</v>
      </c>
      <c r="T321">
        <v>0</v>
      </c>
      <c r="U321">
        <v>1</v>
      </c>
      <c r="V321">
        <v>0</v>
      </c>
      <c r="W321">
        <v>0</v>
      </c>
      <c r="X321" t="s">
        <v>58</v>
      </c>
    </row>
    <row r="322" customHeight="1" spans="1:24">
      <c r="A322" t="s">
        <v>385</v>
      </c>
      <c r="B322">
        <v>26</v>
      </c>
      <c r="C322">
        <v>30</v>
      </c>
      <c r="D322" t="s">
        <v>53</v>
      </c>
      <c r="E322" t="s">
        <v>54</v>
      </c>
      <c r="F322" t="s">
        <v>58</v>
      </c>
      <c r="G322">
        <v>689</v>
      </c>
      <c r="H322">
        <v>31.82</v>
      </c>
      <c r="I322">
        <v>154</v>
      </c>
      <c r="J322">
        <v>512.24</v>
      </c>
      <c r="K322">
        <v>1</v>
      </c>
      <c r="L322" t="s">
        <v>56</v>
      </c>
      <c r="M322">
        <v>2</v>
      </c>
      <c r="N322">
        <v>5</v>
      </c>
      <c r="O322">
        <v>32.3</v>
      </c>
      <c r="P322">
        <v>1</v>
      </c>
      <c r="Q322">
        <v>0</v>
      </c>
      <c r="R322">
        <v>0</v>
      </c>
      <c r="S322" t="s">
        <v>63</v>
      </c>
      <c r="T322">
        <v>1</v>
      </c>
      <c r="U322">
        <v>1</v>
      </c>
      <c r="V322">
        <v>0</v>
      </c>
      <c r="W322">
        <v>0</v>
      </c>
      <c r="X322" t="s">
        <v>58</v>
      </c>
    </row>
    <row r="323" customHeight="1" spans="1:24">
      <c r="A323" t="s">
        <v>386</v>
      </c>
      <c r="B323">
        <v>74</v>
      </c>
      <c r="C323">
        <v>62</v>
      </c>
      <c r="D323" t="s">
        <v>60</v>
      </c>
      <c r="E323" t="s">
        <v>117</v>
      </c>
      <c r="F323" t="s">
        <v>58</v>
      </c>
      <c r="G323">
        <v>348</v>
      </c>
      <c r="H323">
        <v>14.46</v>
      </c>
      <c r="I323">
        <v>219</v>
      </c>
      <c r="J323">
        <v>743.5</v>
      </c>
      <c r="K323">
        <v>0</v>
      </c>
      <c r="L323" t="s">
        <v>62</v>
      </c>
      <c r="M323">
        <v>0</v>
      </c>
      <c r="N323">
        <v>0</v>
      </c>
      <c r="O323">
        <v>22.8</v>
      </c>
      <c r="P323">
        <v>1</v>
      </c>
      <c r="Q323">
        <v>2</v>
      </c>
      <c r="R323">
        <v>0</v>
      </c>
      <c r="S323" t="s">
        <v>63</v>
      </c>
      <c r="T323">
        <v>0</v>
      </c>
      <c r="U323">
        <v>0</v>
      </c>
      <c r="V323">
        <v>0</v>
      </c>
      <c r="W323">
        <v>0</v>
      </c>
      <c r="X323" t="s">
        <v>58</v>
      </c>
    </row>
    <row r="324" customHeight="1" spans="1:24">
      <c r="A324" t="s">
        <v>387</v>
      </c>
      <c r="B324">
        <v>34</v>
      </c>
      <c r="C324">
        <v>4</v>
      </c>
      <c r="D324" t="s">
        <v>72</v>
      </c>
      <c r="E324" t="s">
        <v>65</v>
      </c>
      <c r="F324" t="s">
        <v>58</v>
      </c>
      <c r="G324">
        <v>420</v>
      </c>
      <c r="H324">
        <v>11.67</v>
      </c>
      <c r="I324">
        <v>117</v>
      </c>
      <c r="J324">
        <v>1205.2</v>
      </c>
      <c r="K324">
        <v>0</v>
      </c>
      <c r="L324" t="s">
        <v>62</v>
      </c>
      <c r="M324">
        <v>2</v>
      </c>
      <c r="N324">
        <v>2</v>
      </c>
      <c r="O324">
        <v>20.1</v>
      </c>
      <c r="P324">
        <v>1</v>
      </c>
      <c r="Q324">
        <v>2</v>
      </c>
      <c r="R324">
        <v>0</v>
      </c>
      <c r="S324" t="s">
        <v>66</v>
      </c>
      <c r="T324">
        <v>1</v>
      </c>
      <c r="U324">
        <v>0</v>
      </c>
      <c r="V324">
        <v>0</v>
      </c>
      <c r="W324">
        <v>0</v>
      </c>
      <c r="X324" t="s">
        <v>58</v>
      </c>
    </row>
    <row r="325" customHeight="1" spans="1:24">
      <c r="A325" t="s">
        <v>388</v>
      </c>
      <c r="B325">
        <v>54</v>
      </c>
      <c r="C325">
        <v>48</v>
      </c>
      <c r="D325" t="s">
        <v>60</v>
      </c>
      <c r="E325" t="s">
        <v>65</v>
      </c>
      <c r="F325" t="s">
        <v>58</v>
      </c>
      <c r="G325">
        <v>327</v>
      </c>
      <c r="H325">
        <v>36.72</v>
      </c>
      <c r="I325">
        <v>159</v>
      </c>
      <c r="J325">
        <v>842.47</v>
      </c>
      <c r="K325">
        <v>0</v>
      </c>
      <c r="L325" t="s">
        <v>62</v>
      </c>
      <c r="M325">
        <v>0</v>
      </c>
      <c r="N325">
        <v>1</v>
      </c>
      <c r="O325">
        <v>22.7</v>
      </c>
      <c r="P325">
        <v>1</v>
      </c>
      <c r="Q325">
        <v>1</v>
      </c>
      <c r="R325">
        <v>0</v>
      </c>
      <c r="S325" t="s">
        <v>63</v>
      </c>
      <c r="T325">
        <v>0</v>
      </c>
      <c r="U325">
        <v>0</v>
      </c>
      <c r="V325">
        <v>0</v>
      </c>
      <c r="W325">
        <v>0</v>
      </c>
      <c r="X325" t="s">
        <v>58</v>
      </c>
    </row>
    <row r="326" customHeight="1" spans="1:24">
      <c r="A326" t="s">
        <v>389</v>
      </c>
      <c r="B326">
        <v>33</v>
      </c>
      <c r="C326">
        <v>33</v>
      </c>
      <c r="D326" t="s">
        <v>60</v>
      </c>
      <c r="E326" t="s">
        <v>76</v>
      </c>
      <c r="F326" t="s">
        <v>55</v>
      </c>
      <c r="G326">
        <v>648</v>
      </c>
      <c r="H326">
        <v>17.52</v>
      </c>
      <c r="I326">
        <v>19</v>
      </c>
      <c r="J326">
        <v>794.61</v>
      </c>
      <c r="K326">
        <v>1</v>
      </c>
      <c r="L326" t="s">
        <v>56</v>
      </c>
      <c r="M326">
        <v>2</v>
      </c>
      <c r="N326">
        <v>2</v>
      </c>
      <c r="O326">
        <v>4.7</v>
      </c>
      <c r="P326">
        <v>1</v>
      </c>
      <c r="Q326">
        <v>0</v>
      </c>
      <c r="R326">
        <v>1</v>
      </c>
      <c r="S326" t="s">
        <v>63</v>
      </c>
      <c r="T326">
        <v>1</v>
      </c>
      <c r="U326">
        <v>1</v>
      </c>
      <c r="V326">
        <v>0</v>
      </c>
      <c r="W326">
        <v>1</v>
      </c>
      <c r="X326" t="s">
        <v>55</v>
      </c>
    </row>
    <row r="327" customHeight="1" spans="1:24">
      <c r="A327" t="s">
        <v>390</v>
      </c>
      <c r="B327">
        <v>51</v>
      </c>
      <c r="C327">
        <v>34</v>
      </c>
      <c r="D327" t="s">
        <v>53</v>
      </c>
      <c r="E327" t="s">
        <v>61</v>
      </c>
      <c r="F327" t="s">
        <v>58</v>
      </c>
      <c r="G327">
        <v>384</v>
      </c>
      <c r="H327">
        <v>35.68</v>
      </c>
      <c r="I327">
        <v>137</v>
      </c>
      <c r="J327">
        <v>507.8</v>
      </c>
      <c r="K327">
        <v>0</v>
      </c>
      <c r="L327" t="s">
        <v>62</v>
      </c>
      <c r="M327">
        <v>2</v>
      </c>
      <c r="N327">
        <v>4</v>
      </c>
      <c r="O327">
        <v>26.3</v>
      </c>
      <c r="P327">
        <v>1</v>
      </c>
      <c r="Q327">
        <v>0</v>
      </c>
      <c r="R327">
        <v>0</v>
      </c>
      <c r="S327" t="s">
        <v>63</v>
      </c>
      <c r="T327">
        <v>1</v>
      </c>
      <c r="U327">
        <v>0</v>
      </c>
      <c r="V327">
        <v>0</v>
      </c>
      <c r="W327">
        <v>0</v>
      </c>
      <c r="X327" t="s">
        <v>58</v>
      </c>
    </row>
    <row r="328" customHeight="1" spans="1:24">
      <c r="A328" t="s">
        <v>391</v>
      </c>
      <c r="B328">
        <v>58</v>
      </c>
      <c r="C328">
        <v>20</v>
      </c>
      <c r="D328" t="s">
        <v>72</v>
      </c>
      <c r="E328" t="s">
        <v>76</v>
      </c>
      <c r="F328" t="s">
        <v>58</v>
      </c>
      <c r="G328">
        <v>422</v>
      </c>
      <c r="H328">
        <v>4.02</v>
      </c>
      <c r="I328">
        <v>116</v>
      </c>
      <c r="J328">
        <v>1390.13</v>
      </c>
      <c r="K328">
        <v>0</v>
      </c>
      <c r="L328" t="s">
        <v>62</v>
      </c>
      <c r="M328">
        <v>1</v>
      </c>
      <c r="N328">
        <v>2</v>
      </c>
      <c r="O328">
        <v>7.6</v>
      </c>
      <c r="P328">
        <v>1</v>
      </c>
      <c r="Q328">
        <v>1</v>
      </c>
      <c r="R328">
        <v>1</v>
      </c>
      <c r="S328" t="s">
        <v>57</v>
      </c>
      <c r="T328">
        <v>1</v>
      </c>
      <c r="U328">
        <v>0</v>
      </c>
      <c r="V328">
        <v>1</v>
      </c>
      <c r="W328">
        <v>0</v>
      </c>
      <c r="X328" t="s">
        <v>58</v>
      </c>
    </row>
    <row r="329" customHeight="1" spans="1:24">
      <c r="A329" t="s">
        <v>392</v>
      </c>
      <c r="B329">
        <v>61</v>
      </c>
      <c r="C329">
        <v>70</v>
      </c>
      <c r="D329" t="s">
        <v>53</v>
      </c>
      <c r="E329" t="s">
        <v>54</v>
      </c>
      <c r="F329" t="s">
        <v>55</v>
      </c>
      <c r="G329">
        <v>581</v>
      </c>
      <c r="H329">
        <v>23.18</v>
      </c>
      <c r="I329">
        <v>206</v>
      </c>
      <c r="J329">
        <v>517.74</v>
      </c>
      <c r="K329">
        <v>1</v>
      </c>
      <c r="L329" t="s">
        <v>56</v>
      </c>
      <c r="M329">
        <v>0</v>
      </c>
      <c r="N329">
        <v>0</v>
      </c>
      <c r="O329">
        <v>20.6</v>
      </c>
      <c r="P329">
        <v>0</v>
      </c>
      <c r="Q329">
        <v>0</v>
      </c>
      <c r="R329">
        <v>0</v>
      </c>
      <c r="S329" t="s">
        <v>63</v>
      </c>
      <c r="T329">
        <v>0</v>
      </c>
      <c r="U329">
        <v>1</v>
      </c>
      <c r="V329">
        <v>0</v>
      </c>
      <c r="W329">
        <v>1</v>
      </c>
      <c r="X329" t="s">
        <v>55</v>
      </c>
    </row>
    <row r="330" customHeight="1" spans="1:24">
      <c r="A330" t="s">
        <v>393</v>
      </c>
      <c r="B330">
        <v>41</v>
      </c>
      <c r="C330">
        <v>29</v>
      </c>
      <c r="D330" t="s">
        <v>72</v>
      </c>
      <c r="E330" t="s">
        <v>54</v>
      </c>
      <c r="F330" t="s">
        <v>58</v>
      </c>
      <c r="G330">
        <v>488</v>
      </c>
      <c r="H330">
        <v>38.71</v>
      </c>
      <c r="I330">
        <v>82</v>
      </c>
      <c r="J330">
        <v>752.47</v>
      </c>
      <c r="K330">
        <v>2</v>
      </c>
      <c r="L330" t="s">
        <v>56</v>
      </c>
      <c r="M330">
        <v>0</v>
      </c>
      <c r="N330">
        <v>1</v>
      </c>
      <c r="O330">
        <v>25.9</v>
      </c>
      <c r="P330">
        <v>1</v>
      </c>
      <c r="Q330">
        <v>2</v>
      </c>
      <c r="R330">
        <v>0</v>
      </c>
      <c r="S330" t="s">
        <v>63</v>
      </c>
      <c r="T330">
        <v>0</v>
      </c>
      <c r="U330">
        <v>1</v>
      </c>
      <c r="V330">
        <v>0</v>
      </c>
      <c r="W330">
        <v>0</v>
      </c>
      <c r="X330" t="s">
        <v>58</v>
      </c>
    </row>
    <row r="331" customHeight="1" spans="1:24">
      <c r="A331" t="s">
        <v>394</v>
      </c>
      <c r="B331">
        <v>53</v>
      </c>
      <c r="C331">
        <v>62</v>
      </c>
      <c r="D331" t="s">
        <v>60</v>
      </c>
      <c r="E331" t="s">
        <v>54</v>
      </c>
      <c r="F331" t="s">
        <v>58</v>
      </c>
      <c r="G331">
        <v>392</v>
      </c>
      <c r="H331">
        <v>18.3</v>
      </c>
      <c r="I331">
        <v>103</v>
      </c>
      <c r="J331">
        <v>792.04</v>
      </c>
      <c r="K331">
        <v>2</v>
      </c>
      <c r="L331" t="s">
        <v>56</v>
      </c>
      <c r="M331">
        <v>1</v>
      </c>
      <c r="N331">
        <v>4</v>
      </c>
      <c r="O331">
        <v>36.9</v>
      </c>
      <c r="P331">
        <v>2</v>
      </c>
      <c r="Q331">
        <v>0</v>
      </c>
      <c r="R331">
        <v>0</v>
      </c>
      <c r="S331" t="s">
        <v>63</v>
      </c>
      <c r="T331">
        <v>1</v>
      </c>
      <c r="U331">
        <v>1</v>
      </c>
      <c r="V331">
        <v>0</v>
      </c>
      <c r="W331">
        <v>0</v>
      </c>
      <c r="X331" t="s">
        <v>58</v>
      </c>
    </row>
    <row r="332" customHeight="1" spans="1:24">
      <c r="A332" t="s">
        <v>395</v>
      </c>
      <c r="B332">
        <v>66</v>
      </c>
      <c r="C332">
        <v>31</v>
      </c>
      <c r="D332" t="s">
        <v>60</v>
      </c>
      <c r="E332" t="s">
        <v>76</v>
      </c>
      <c r="F332" t="s">
        <v>55</v>
      </c>
      <c r="G332">
        <v>567</v>
      </c>
      <c r="H332">
        <v>15.36</v>
      </c>
      <c r="I332">
        <v>194</v>
      </c>
      <c r="J332">
        <v>804.61</v>
      </c>
      <c r="K332">
        <v>0</v>
      </c>
      <c r="L332" t="s">
        <v>62</v>
      </c>
      <c r="M332">
        <v>1</v>
      </c>
      <c r="N332">
        <v>1</v>
      </c>
      <c r="O332">
        <v>14.2</v>
      </c>
      <c r="P332">
        <v>0</v>
      </c>
      <c r="Q332">
        <v>2</v>
      </c>
      <c r="R332">
        <v>0</v>
      </c>
      <c r="S332" t="s">
        <v>63</v>
      </c>
      <c r="T332">
        <v>1</v>
      </c>
      <c r="U332">
        <v>0</v>
      </c>
      <c r="V332">
        <v>0</v>
      </c>
      <c r="W332">
        <v>1</v>
      </c>
      <c r="X332" t="s">
        <v>55</v>
      </c>
    </row>
    <row r="333" customHeight="1" spans="1:24">
      <c r="A333" t="s">
        <v>396</v>
      </c>
      <c r="B333">
        <v>66</v>
      </c>
      <c r="C333">
        <v>4</v>
      </c>
      <c r="D333" t="s">
        <v>53</v>
      </c>
      <c r="E333" t="s">
        <v>54</v>
      </c>
      <c r="F333" t="s">
        <v>58</v>
      </c>
      <c r="G333">
        <v>781</v>
      </c>
      <c r="H333">
        <v>6.32</v>
      </c>
      <c r="I333">
        <v>114</v>
      </c>
      <c r="J333">
        <v>420.07</v>
      </c>
      <c r="K333">
        <v>0</v>
      </c>
      <c r="L333" t="s">
        <v>62</v>
      </c>
      <c r="M333">
        <v>0</v>
      </c>
      <c r="N333">
        <v>0</v>
      </c>
      <c r="O333">
        <v>23.7</v>
      </c>
      <c r="P333">
        <v>1</v>
      </c>
      <c r="Q333">
        <v>0</v>
      </c>
      <c r="R333">
        <v>1</v>
      </c>
      <c r="S333" t="s">
        <v>66</v>
      </c>
      <c r="T333">
        <v>0</v>
      </c>
      <c r="U333">
        <v>0</v>
      </c>
      <c r="V333">
        <v>0</v>
      </c>
      <c r="W333">
        <v>0</v>
      </c>
      <c r="X333" t="s">
        <v>58</v>
      </c>
    </row>
    <row r="334" customHeight="1" spans="1:24">
      <c r="A334" t="s">
        <v>397</v>
      </c>
      <c r="B334">
        <v>61</v>
      </c>
      <c r="C334">
        <v>64</v>
      </c>
      <c r="D334" t="s">
        <v>53</v>
      </c>
      <c r="E334" t="s">
        <v>61</v>
      </c>
      <c r="F334" t="s">
        <v>58</v>
      </c>
      <c r="G334">
        <v>448</v>
      </c>
      <c r="H334">
        <v>28.82</v>
      </c>
      <c r="I334">
        <v>42</v>
      </c>
      <c r="J334">
        <v>634.43</v>
      </c>
      <c r="K334">
        <v>1</v>
      </c>
      <c r="L334" t="s">
        <v>56</v>
      </c>
      <c r="M334">
        <v>0</v>
      </c>
      <c r="N334">
        <v>1</v>
      </c>
      <c r="O334">
        <v>35.4</v>
      </c>
      <c r="P334">
        <v>0</v>
      </c>
      <c r="Q334">
        <v>0</v>
      </c>
      <c r="R334">
        <v>1</v>
      </c>
      <c r="S334" t="s">
        <v>63</v>
      </c>
      <c r="T334">
        <v>0</v>
      </c>
      <c r="U334">
        <v>1</v>
      </c>
      <c r="V334">
        <v>0</v>
      </c>
      <c r="W334">
        <v>0</v>
      </c>
      <c r="X334" t="s">
        <v>58</v>
      </c>
    </row>
    <row r="335" customHeight="1" spans="1:24">
      <c r="A335" t="s">
        <v>398</v>
      </c>
      <c r="B335">
        <v>41</v>
      </c>
      <c r="C335">
        <v>14</v>
      </c>
      <c r="D335" t="s">
        <v>72</v>
      </c>
      <c r="E335" t="s">
        <v>54</v>
      </c>
      <c r="F335" t="s">
        <v>55</v>
      </c>
      <c r="G335">
        <v>418</v>
      </c>
      <c r="H335">
        <v>10.3</v>
      </c>
      <c r="I335">
        <v>299</v>
      </c>
      <c r="J335">
        <v>1022.5</v>
      </c>
      <c r="K335">
        <v>1</v>
      </c>
      <c r="L335" t="s">
        <v>56</v>
      </c>
      <c r="M335">
        <v>2</v>
      </c>
      <c r="N335">
        <v>3</v>
      </c>
      <c r="O335">
        <v>18.8</v>
      </c>
      <c r="P335">
        <v>1</v>
      </c>
      <c r="Q335">
        <v>1</v>
      </c>
      <c r="R335">
        <v>1</v>
      </c>
      <c r="S335" t="s">
        <v>57</v>
      </c>
      <c r="T335">
        <v>1</v>
      </c>
      <c r="U335">
        <v>1</v>
      </c>
      <c r="V335">
        <v>0</v>
      </c>
      <c r="W335">
        <v>1</v>
      </c>
      <c r="X335" t="s">
        <v>55</v>
      </c>
    </row>
    <row r="336" customHeight="1" spans="1:24">
      <c r="A336" t="s">
        <v>399</v>
      </c>
      <c r="B336">
        <v>48</v>
      </c>
      <c r="C336">
        <v>20</v>
      </c>
      <c r="D336" t="s">
        <v>60</v>
      </c>
      <c r="E336" t="s">
        <v>61</v>
      </c>
      <c r="F336" t="s">
        <v>58</v>
      </c>
      <c r="G336">
        <v>426</v>
      </c>
      <c r="H336">
        <v>17.05</v>
      </c>
      <c r="I336">
        <v>44</v>
      </c>
      <c r="J336">
        <v>795.99</v>
      </c>
      <c r="K336">
        <v>0</v>
      </c>
      <c r="L336" t="s">
        <v>62</v>
      </c>
      <c r="M336">
        <v>0</v>
      </c>
      <c r="N336">
        <v>0</v>
      </c>
      <c r="O336">
        <v>10.7</v>
      </c>
      <c r="P336">
        <v>0</v>
      </c>
      <c r="Q336">
        <v>1</v>
      </c>
      <c r="R336">
        <v>0</v>
      </c>
      <c r="S336" t="s">
        <v>57</v>
      </c>
      <c r="T336">
        <v>0</v>
      </c>
      <c r="U336">
        <v>0</v>
      </c>
      <c r="V336">
        <v>0</v>
      </c>
      <c r="W336">
        <v>0</v>
      </c>
      <c r="X336" t="s">
        <v>58</v>
      </c>
    </row>
    <row r="337" customHeight="1" spans="1:24">
      <c r="A337" t="s">
        <v>400</v>
      </c>
      <c r="B337">
        <v>74</v>
      </c>
      <c r="C337">
        <v>62</v>
      </c>
      <c r="D337" t="s">
        <v>60</v>
      </c>
      <c r="E337" t="s">
        <v>54</v>
      </c>
      <c r="F337" t="s">
        <v>58</v>
      </c>
      <c r="G337">
        <v>597</v>
      </c>
      <c r="H337">
        <v>5.65</v>
      </c>
      <c r="I337">
        <v>115</v>
      </c>
      <c r="J337">
        <v>742.88</v>
      </c>
      <c r="K337">
        <v>0</v>
      </c>
      <c r="L337" t="s">
        <v>62</v>
      </c>
      <c r="M337">
        <v>0</v>
      </c>
      <c r="N337">
        <v>0</v>
      </c>
      <c r="O337">
        <v>6.7</v>
      </c>
      <c r="P337">
        <v>1</v>
      </c>
      <c r="Q337">
        <v>1</v>
      </c>
      <c r="R337">
        <v>0</v>
      </c>
      <c r="S337" t="s">
        <v>63</v>
      </c>
      <c r="T337">
        <v>0</v>
      </c>
      <c r="U337">
        <v>0</v>
      </c>
      <c r="V337">
        <v>0</v>
      </c>
      <c r="W337">
        <v>0</v>
      </c>
      <c r="X337" t="s">
        <v>58</v>
      </c>
    </row>
    <row r="338" customHeight="1" spans="1:24">
      <c r="A338" t="s">
        <v>401</v>
      </c>
      <c r="B338">
        <v>32</v>
      </c>
      <c r="C338">
        <v>65</v>
      </c>
      <c r="D338" t="s">
        <v>72</v>
      </c>
      <c r="E338" t="s">
        <v>65</v>
      </c>
      <c r="F338" t="s">
        <v>58</v>
      </c>
      <c r="G338">
        <v>310</v>
      </c>
      <c r="H338">
        <v>33.57</v>
      </c>
      <c r="I338">
        <v>144</v>
      </c>
      <c r="J338">
        <v>1154.73</v>
      </c>
      <c r="K338">
        <v>1</v>
      </c>
      <c r="L338" t="s">
        <v>56</v>
      </c>
      <c r="M338">
        <v>3</v>
      </c>
      <c r="N338">
        <v>4</v>
      </c>
      <c r="O338">
        <v>27.3</v>
      </c>
      <c r="P338">
        <v>0</v>
      </c>
      <c r="Q338">
        <v>1</v>
      </c>
      <c r="R338">
        <v>0</v>
      </c>
      <c r="S338" t="s">
        <v>63</v>
      </c>
      <c r="T338">
        <v>1</v>
      </c>
      <c r="U338">
        <v>1</v>
      </c>
      <c r="V338">
        <v>0</v>
      </c>
      <c r="W338">
        <v>0</v>
      </c>
      <c r="X338" t="s">
        <v>58</v>
      </c>
    </row>
    <row r="339" customHeight="1" spans="1:24">
      <c r="A339" t="s">
        <v>402</v>
      </c>
      <c r="B339">
        <v>58</v>
      </c>
      <c r="C339">
        <v>67</v>
      </c>
      <c r="D339" t="s">
        <v>72</v>
      </c>
      <c r="E339" t="s">
        <v>69</v>
      </c>
      <c r="F339" t="s">
        <v>58</v>
      </c>
      <c r="G339">
        <v>358</v>
      </c>
      <c r="H339">
        <v>29.55</v>
      </c>
      <c r="I339">
        <v>139</v>
      </c>
      <c r="J339">
        <v>1097.74</v>
      </c>
      <c r="K339">
        <v>0</v>
      </c>
      <c r="L339" t="s">
        <v>62</v>
      </c>
      <c r="M339">
        <v>1</v>
      </c>
      <c r="N339">
        <v>2</v>
      </c>
      <c r="O339">
        <v>15.2</v>
      </c>
      <c r="P339">
        <v>2</v>
      </c>
      <c r="Q339">
        <v>0</v>
      </c>
      <c r="R339">
        <v>0</v>
      </c>
      <c r="S339" t="s">
        <v>63</v>
      </c>
      <c r="T339">
        <v>1</v>
      </c>
      <c r="U339">
        <v>0</v>
      </c>
      <c r="V339">
        <v>0</v>
      </c>
      <c r="W339">
        <v>0</v>
      </c>
      <c r="X339" t="s">
        <v>58</v>
      </c>
    </row>
    <row r="340" customHeight="1" spans="1:24">
      <c r="A340" t="s">
        <v>403</v>
      </c>
      <c r="B340">
        <v>63</v>
      </c>
      <c r="C340">
        <v>31</v>
      </c>
      <c r="D340" t="s">
        <v>72</v>
      </c>
      <c r="E340" t="s">
        <v>76</v>
      </c>
      <c r="F340" t="s">
        <v>58</v>
      </c>
      <c r="G340">
        <v>169</v>
      </c>
      <c r="H340">
        <v>17.68</v>
      </c>
      <c r="I340">
        <v>107</v>
      </c>
      <c r="J340">
        <v>1334.09</v>
      </c>
      <c r="K340">
        <v>0</v>
      </c>
      <c r="L340" t="s">
        <v>62</v>
      </c>
      <c r="M340">
        <v>0</v>
      </c>
      <c r="N340">
        <v>1</v>
      </c>
      <c r="O340">
        <v>38.4</v>
      </c>
      <c r="P340">
        <v>0</v>
      </c>
      <c r="Q340">
        <v>0</v>
      </c>
      <c r="R340">
        <v>0</v>
      </c>
      <c r="S340" t="s">
        <v>63</v>
      </c>
      <c r="T340">
        <v>0</v>
      </c>
      <c r="U340">
        <v>0</v>
      </c>
      <c r="V340">
        <v>0</v>
      </c>
      <c r="W340">
        <v>0</v>
      </c>
      <c r="X340" t="s">
        <v>58</v>
      </c>
    </row>
    <row r="341" customHeight="1" spans="1:24">
      <c r="A341" t="s">
        <v>404</v>
      </c>
      <c r="B341">
        <v>45</v>
      </c>
      <c r="C341">
        <v>55</v>
      </c>
      <c r="D341" t="s">
        <v>53</v>
      </c>
      <c r="E341" t="s">
        <v>69</v>
      </c>
      <c r="F341" t="s">
        <v>58</v>
      </c>
      <c r="G341">
        <v>222</v>
      </c>
      <c r="H341">
        <v>6.46</v>
      </c>
      <c r="I341">
        <v>107</v>
      </c>
      <c r="J341">
        <v>485.08</v>
      </c>
      <c r="K341">
        <v>0</v>
      </c>
      <c r="L341" t="s">
        <v>62</v>
      </c>
      <c r="M341">
        <v>0</v>
      </c>
      <c r="N341">
        <v>0</v>
      </c>
      <c r="O341">
        <v>15.8</v>
      </c>
      <c r="P341">
        <v>1</v>
      </c>
      <c r="Q341">
        <v>0</v>
      </c>
      <c r="R341">
        <v>1</v>
      </c>
      <c r="S341" t="s">
        <v>63</v>
      </c>
      <c r="T341">
        <v>0</v>
      </c>
      <c r="U341">
        <v>0</v>
      </c>
      <c r="V341">
        <v>0</v>
      </c>
      <c r="W341">
        <v>0</v>
      </c>
      <c r="X341" t="s">
        <v>58</v>
      </c>
    </row>
    <row r="342" customHeight="1" spans="1:24">
      <c r="A342" t="s">
        <v>405</v>
      </c>
      <c r="B342">
        <v>68</v>
      </c>
      <c r="C342">
        <v>24</v>
      </c>
      <c r="D342" t="s">
        <v>60</v>
      </c>
      <c r="E342" t="s">
        <v>54</v>
      </c>
      <c r="F342" t="s">
        <v>58</v>
      </c>
      <c r="G342">
        <v>322</v>
      </c>
      <c r="H342">
        <v>33.36</v>
      </c>
      <c r="I342">
        <v>104</v>
      </c>
      <c r="J342">
        <v>885.17</v>
      </c>
      <c r="K342">
        <v>0</v>
      </c>
      <c r="L342" t="s">
        <v>62</v>
      </c>
      <c r="M342">
        <v>0</v>
      </c>
      <c r="N342">
        <v>0</v>
      </c>
      <c r="O342">
        <v>13.2</v>
      </c>
      <c r="P342">
        <v>1</v>
      </c>
      <c r="Q342">
        <v>0</v>
      </c>
      <c r="R342">
        <v>0</v>
      </c>
      <c r="S342" t="s">
        <v>57</v>
      </c>
      <c r="T342">
        <v>0</v>
      </c>
      <c r="U342">
        <v>0</v>
      </c>
      <c r="V342">
        <v>0</v>
      </c>
      <c r="W342">
        <v>0</v>
      </c>
      <c r="X342" t="s">
        <v>58</v>
      </c>
    </row>
    <row r="343" customHeight="1" spans="1:24">
      <c r="A343" t="s">
        <v>406</v>
      </c>
      <c r="B343">
        <v>42</v>
      </c>
      <c r="C343">
        <v>54</v>
      </c>
      <c r="D343" t="s">
        <v>72</v>
      </c>
      <c r="E343" t="s">
        <v>69</v>
      </c>
      <c r="F343" t="s">
        <v>58</v>
      </c>
      <c r="G343">
        <v>392</v>
      </c>
      <c r="H343">
        <v>14.34</v>
      </c>
      <c r="I343">
        <v>42</v>
      </c>
      <c r="J343">
        <v>1160.2</v>
      </c>
      <c r="K343">
        <v>1</v>
      </c>
      <c r="L343" t="s">
        <v>56</v>
      </c>
      <c r="M343">
        <v>0</v>
      </c>
      <c r="N343">
        <v>0</v>
      </c>
      <c r="O343">
        <v>26.8</v>
      </c>
      <c r="P343">
        <v>2</v>
      </c>
      <c r="Q343">
        <v>2</v>
      </c>
      <c r="R343">
        <v>1</v>
      </c>
      <c r="S343" t="s">
        <v>63</v>
      </c>
      <c r="T343">
        <v>0</v>
      </c>
      <c r="U343">
        <v>1</v>
      </c>
      <c r="V343">
        <v>0</v>
      </c>
      <c r="W343">
        <v>0</v>
      </c>
      <c r="X343" t="s">
        <v>58</v>
      </c>
    </row>
    <row r="344" customHeight="1" spans="1:24">
      <c r="A344" t="s">
        <v>407</v>
      </c>
      <c r="B344">
        <v>66</v>
      </c>
      <c r="C344">
        <v>37</v>
      </c>
      <c r="D344" t="s">
        <v>60</v>
      </c>
      <c r="E344" t="s">
        <v>65</v>
      </c>
      <c r="F344" t="s">
        <v>58</v>
      </c>
      <c r="G344">
        <v>665</v>
      </c>
      <c r="H344">
        <v>6.95</v>
      </c>
      <c r="I344">
        <v>271</v>
      </c>
      <c r="J344">
        <v>628.43</v>
      </c>
      <c r="K344">
        <v>1</v>
      </c>
      <c r="L344" t="s">
        <v>56</v>
      </c>
      <c r="M344">
        <v>1</v>
      </c>
      <c r="N344">
        <v>1</v>
      </c>
      <c r="O344">
        <v>15.8</v>
      </c>
      <c r="P344">
        <v>0</v>
      </c>
      <c r="Q344">
        <v>0</v>
      </c>
      <c r="R344">
        <v>0</v>
      </c>
      <c r="S344" t="s">
        <v>63</v>
      </c>
      <c r="T344">
        <v>1</v>
      </c>
      <c r="U344">
        <v>1</v>
      </c>
      <c r="V344">
        <v>0</v>
      </c>
      <c r="W344">
        <v>0</v>
      </c>
      <c r="X344" t="s">
        <v>58</v>
      </c>
    </row>
    <row r="345" customHeight="1" spans="1:24">
      <c r="A345" t="s">
        <v>408</v>
      </c>
      <c r="B345">
        <v>55</v>
      </c>
      <c r="C345">
        <v>4</v>
      </c>
      <c r="D345" t="s">
        <v>53</v>
      </c>
      <c r="E345" t="s">
        <v>69</v>
      </c>
      <c r="F345" t="s">
        <v>55</v>
      </c>
      <c r="G345">
        <v>480</v>
      </c>
      <c r="H345">
        <v>0.5</v>
      </c>
      <c r="I345">
        <v>105</v>
      </c>
      <c r="J345">
        <v>450.76</v>
      </c>
      <c r="K345">
        <v>1</v>
      </c>
      <c r="L345" t="s">
        <v>56</v>
      </c>
      <c r="M345">
        <v>2</v>
      </c>
      <c r="N345">
        <v>3</v>
      </c>
      <c r="O345">
        <v>24.1</v>
      </c>
      <c r="P345">
        <v>0</v>
      </c>
      <c r="Q345">
        <v>0</v>
      </c>
      <c r="R345">
        <v>1</v>
      </c>
      <c r="S345" t="s">
        <v>66</v>
      </c>
      <c r="T345">
        <v>1</v>
      </c>
      <c r="U345">
        <v>1</v>
      </c>
      <c r="V345">
        <v>1</v>
      </c>
      <c r="W345">
        <v>1</v>
      </c>
      <c r="X345" t="s">
        <v>55</v>
      </c>
    </row>
    <row r="346" customHeight="1" spans="1:24">
      <c r="A346" t="s">
        <v>409</v>
      </c>
      <c r="B346">
        <v>20</v>
      </c>
      <c r="C346">
        <v>31</v>
      </c>
      <c r="D346" t="s">
        <v>72</v>
      </c>
      <c r="E346" t="s">
        <v>65</v>
      </c>
      <c r="F346" t="s">
        <v>58</v>
      </c>
      <c r="G346">
        <v>263</v>
      </c>
      <c r="H346">
        <v>11.54</v>
      </c>
      <c r="I346">
        <v>162</v>
      </c>
      <c r="J346">
        <v>1151.79</v>
      </c>
      <c r="K346">
        <v>0</v>
      </c>
      <c r="L346" t="s">
        <v>62</v>
      </c>
      <c r="M346">
        <v>0</v>
      </c>
      <c r="N346">
        <v>2</v>
      </c>
      <c r="O346">
        <v>35.8</v>
      </c>
      <c r="P346">
        <v>0</v>
      </c>
      <c r="Q346">
        <v>1</v>
      </c>
      <c r="R346">
        <v>0</v>
      </c>
      <c r="S346" t="s">
        <v>63</v>
      </c>
      <c r="T346">
        <v>0</v>
      </c>
      <c r="U346">
        <v>0</v>
      </c>
      <c r="V346">
        <v>0</v>
      </c>
      <c r="W346">
        <v>0</v>
      </c>
      <c r="X346" t="s">
        <v>58</v>
      </c>
    </row>
    <row r="347" customHeight="1" spans="1:24">
      <c r="A347" t="s">
        <v>410</v>
      </c>
      <c r="B347">
        <v>65</v>
      </c>
      <c r="C347">
        <v>34</v>
      </c>
      <c r="D347" t="s">
        <v>60</v>
      </c>
      <c r="E347" t="s">
        <v>54</v>
      </c>
      <c r="F347" t="s">
        <v>58</v>
      </c>
      <c r="G347">
        <v>291</v>
      </c>
      <c r="H347">
        <v>3.45</v>
      </c>
      <c r="I347">
        <v>97</v>
      </c>
      <c r="J347">
        <v>928.12</v>
      </c>
      <c r="K347">
        <v>0</v>
      </c>
      <c r="L347" t="s">
        <v>62</v>
      </c>
      <c r="M347">
        <v>1</v>
      </c>
      <c r="N347">
        <v>2</v>
      </c>
      <c r="O347">
        <v>25.4</v>
      </c>
      <c r="P347">
        <v>2</v>
      </c>
      <c r="Q347">
        <v>0</v>
      </c>
      <c r="R347">
        <v>0</v>
      </c>
      <c r="S347" t="s">
        <v>63</v>
      </c>
      <c r="T347">
        <v>1</v>
      </c>
      <c r="U347">
        <v>0</v>
      </c>
      <c r="V347">
        <v>1</v>
      </c>
      <c r="W347">
        <v>0</v>
      </c>
      <c r="X347" t="s">
        <v>58</v>
      </c>
    </row>
    <row r="348" customHeight="1" spans="1:24">
      <c r="A348" t="s">
        <v>411</v>
      </c>
      <c r="B348">
        <v>58</v>
      </c>
      <c r="C348">
        <v>19</v>
      </c>
      <c r="D348" t="s">
        <v>60</v>
      </c>
      <c r="E348" t="s">
        <v>76</v>
      </c>
      <c r="F348" t="s">
        <v>58</v>
      </c>
      <c r="G348">
        <v>606</v>
      </c>
      <c r="H348">
        <v>11.77</v>
      </c>
      <c r="I348">
        <v>95</v>
      </c>
      <c r="J348">
        <v>700.71</v>
      </c>
      <c r="K348">
        <v>0</v>
      </c>
      <c r="L348" t="s">
        <v>62</v>
      </c>
      <c r="M348">
        <v>0</v>
      </c>
      <c r="N348">
        <v>0</v>
      </c>
      <c r="O348">
        <v>25.5</v>
      </c>
      <c r="P348">
        <v>0</v>
      </c>
      <c r="Q348">
        <v>0</v>
      </c>
      <c r="R348">
        <v>0</v>
      </c>
      <c r="S348" t="s">
        <v>57</v>
      </c>
      <c r="T348">
        <v>0</v>
      </c>
      <c r="U348">
        <v>0</v>
      </c>
      <c r="V348">
        <v>0</v>
      </c>
      <c r="W348">
        <v>0</v>
      </c>
      <c r="X348" t="s">
        <v>58</v>
      </c>
    </row>
    <row r="349" customHeight="1" spans="1:24">
      <c r="A349" t="s">
        <v>412</v>
      </c>
      <c r="B349">
        <v>30</v>
      </c>
      <c r="C349">
        <v>27</v>
      </c>
      <c r="D349" t="s">
        <v>72</v>
      </c>
      <c r="E349" t="s">
        <v>54</v>
      </c>
      <c r="F349" t="s">
        <v>58</v>
      </c>
      <c r="G349">
        <v>569</v>
      </c>
      <c r="H349">
        <v>25.44</v>
      </c>
      <c r="I349">
        <v>88</v>
      </c>
      <c r="J349">
        <v>891.15</v>
      </c>
      <c r="K349">
        <v>0</v>
      </c>
      <c r="L349" t="s">
        <v>62</v>
      </c>
      <c r="M349">
        <v>1</v>
      </c>
      <c r="N349">
        <v>3</v>
      </c>
      <c r="O349">
        <v>26.5</v>
      </c>
      <c r="P349">
        <v>2</v>
      </c>
      <c r="Q349">
        <v>0</v>
      </c>
      <c r="R349">
        <v>0</v>
      </c>
      <c r="S349" t="s">
        <v>63</v>
      </c>
      <c r="T349">
        <v>1</v>
      </c>
      <c r="U349">
        <v>0</v>
      </c>
      <c r="V349">
        <v>0</v>
      </c>
      <c r="W349">
        <v>0</v>
      </c>
      <c r="X349" t="s">
        <v>58</v>
      </c>
    </row>
    <row r="350" customHeight="1" spans="1:24">
      <c r="A350" t="s">
        <v>413</v>
      </c>
      <c r="B350">
        <v>58</v>
      </c>
      <c r="C350">
        <v>37</v>
      </c>
      <c r="D350" t="s">
        <v>60</v>
      </c>
      <c r="E350" t="s">
        <v>117</v>
      </c>
      <c r="F350" t="s">
        <v>58</v>
      </c>
      <c r="G350">
        <v>404</v>
      </c>
      <c r="H350">
        <v>14.25</v>
      </c>
      <c r="I350">
        <v>12</v>
      </c>
      <c r="J350">
        <v>904.87</v>
      </c>
      <c r="K350">
        <v>0</v>
      </c>
      <c r="L350" t="s">
        <v>62</v>
      </c>
      <c r="M350">
        <v>2</v>
      </c>
      <c r="N350">
        <v>2</v>
      </c>
      <c r="O350">
        <v>3.7</v>
      </c>
      <c r="P350">
        <v>2</v>
      </c>
      <c r="Q350">
        <v>1</v>
      </c>
      <c r="R350">
        <v>2</v>
      </c>
      <c r="S350" t="s">
        <v>63</v>
      </c>
      <c r="T350">
        <v>1</v>
      </c>
      <c r="U350">
        <v>0</v>
      </c>
      <c r="V350">
        <v>0</v>
      </c>
      <c r="W350">
        <v>0</v>
      </c>
      <c r="X350" t="s">
        <v>58</v>
      </c>
    </row>
    <row r="351" customHeight="1" spans="1:24">
      <c r="A351" t="s">
        <v>414</v>
      </c>
      <c r="B351">
        <v>47</v>
      </c>
      <c r="C351">
        <v>4</v>
      </c>
      <c r="D351" t="s">
        <v>60</v>
      </c>
      <c r="E351" t="s">
        <v>65</v>
      </c>
      <c r="F351" t="s">
        <v>58</v>
      </c>
      <c r="G351">
        <v>334</v>
      </c>
      <c r="H351">
        <v>21.56</v>
      </c>
      <c r="I351">
        <v>109</v>
      </c>
      <c r="J351">
        <v>712.52</v>
      </c>
      <c r="K351">
        <v>0</v>
      </c>
      <c r="L351" t="s">
        <v>62</v>
      </c>
      <c r="M351">
        <v>1</v>
      </c>
      <c r="N351">
        <v>1</v>
      </c>
      <c r="O351">
        <v>28.7</v>
      </c>
      <c r="P351">
        <v>1</v>
      </c>
      <c r="Q351">
        <v>0</v>
      </c>
      <c r="R351">
        <v>0</v>
      </c>
      <c r="S351" t="s">
        <v>66</v>
      </c>
      <c r="T351">
        <v>1</v>
      </c>
      <c r="U351">
        <v>0</v>
      </c>
      <c r="V351">
        <v>0</v>
      </c>
      <c r="W351">
        <v>0</v>
      </c>
      <c r="X351" t="s">
        <v>58</v>
      </c>
    </row>
    <row r="352" customHeight="1" spans="1:24">
      <c r="A352" t="s">
        <v>415</v>
      </c>
      <c r="B352">
        <v>72</v>
      </c>
      <c r="C352">
        <v>11</v>
      </c>
      <c r="D352" t="s">
        <v>60</v>
      </c>
      <c r="E352" t="s">
        <v>61</v>
      </c>
      <c r="F352" t="s">
        <v>58</v>
      </c>
      <c r="G352">
        <v>569</v>
      </c>
      <c r="H352">
        <v>10.77</v>
      </c>
      <c r="I352">
        <v>92</v>
      </c>
      <c r="J352">
        <v>822.22</v>
      </c>
      <c r="K352">
        <v>1</v>
      </c>
      <c r="L352" t="s">
        <v>56</v>
      </c>
      <c r="M352">
        <v>1</v>
      </c>
      <c r="N352">
        <v>1</v>
      </c>
      <c r="O352">
        <v>25.9</v>
      </c>
      <c r="P352">
        <v>0</v>
      </c>
      <c r="Q352">
        <v>1</v>
      </c>
      <c r="R352">
        <v>1</v>
      </c>
      <c r="S352" t="s">
        <v>57</v>
      </c>
      <c r="T352">
        <v>1</v>
      </c>
      <c r="U352">
        <v>1</v>
      </c>
      <c r="V352">
        <v>0</v>
      </c>
      <c r="W352">
        <v>0</v>
      </c>
      <c r="X352" t="s">
        <v>58</v>
      </c>
    </row>
    <row r="353" customHeight="1" spans="1:24">
      <c r="A353" t="s">
        <v>416</v>
      </c>
      <c r="B353">
        <v>35</v>
      </c>
      <c r="C353">
        <v>56</v>
      </c>
      <c r="D353" t="s">
        <v>60</v>
      </c>
      <c r="E353" t="s">
        <v>76</v>
      </c>
      <c r="F353" t="s">
        <v>58</v>
      </c>
      <c r="G353">
        <v>251</v>
      </c>
      <c r="H353">
        <v>18.65</v>
      </c>
      <c r="I353">
        <v>202</v>
      </c>
      <c r="J353">
        <v>602.29</v>
      </c>
      <c r="K353">
        <v>1</v>
      </c>
      <c r="L353" t="s">
        <v>56</v>
      </c>
      <c r="M353">
        <v>2</v>
      </c>
      <c r="N353">
        <v>3</v>
      </c>
      <c r="O353">
        <v>34.7</v>
      </c>
      <c r="P353">
        <v>1</v>
      </c>
      <c r="Q353">
        <v>1</v>
      </c>
      <c r="R353">
        <v>1</v>
      </c>
      <c r="S353" t="s">
        <v>63</v>
      </c>
      <c r="T353">
        <v>1</v>
      </c>
      <c r="U353">
        <v>1</v>
      </c>
      <c r="V353">
        <v>0</v>
      </c>
      <c r="W353">
        <v>0</v>
      </c>
      <c r="X353" t="s">
        <v>58</v>
      </c>
    </row>
    <row r="354" customHeight="1" spans="1:24">
      <c r="A354" t="s">
        <v>417</v>
      </c>
      <c r="B354">
        <v>33</v>
      </c>
      <c r="C354">
        <v>26</v>
      </c>
      <c r="D354" t="s">
        <v>53</v>
      </c>
      <c r="E354" t="s">
        <v>69</v>
      </c>
      <c r="F354" t="s">
        <v>55</v>
      </c>
      <c r="G354">
        <v>459</v>
      </c>
      <c r="H354">
        <v>37.21</v>
      </c>
      <c r="I354">
        <v>36</v>
      </c>
      <c r="J354">
        <v>497.29</v>
      </c>
      <c r="K354">
        <v>0</v>
      </c>
      <c r="L354" t="s">
        <v>62</v>
      </c>
      <c r="M354">
        <v>0</v>
      </c>
      <c r="N354">
        <v>1</v>
      </c>
      <c r="O354">
        <v>31.3</v>
      </c>
      <c r="P354">
        <v>2</v>
      </c>
      <c r="Q354">
        <v>2</v>
      </c>
      <c r="R354">
        <v>0</v>
      </c>
      <c r="S354" t="s">
        <v>63</v>
      </c>
      <c r="T354">
        <v>0</v>
      </c>
      <c r="U354">
        <v>0</v>
      </c>
      <c r="V354">
        <v>0</v>
      </c>
      <c r="W354">
        <v>1</v>
      </c>
      <c r="X354" t="s">
        <v>58</v>
      </c>
    </row>
    <row r="355" customHeight="1" spans="1:24">
      <c r="A355" t="s">
        <v>418</v>
      </c>
      <c r="B355">
        <v>21</v>
      </c>
      <c r="C355">
        <v>44</v>
      </c>
      <c r="D355" t="s">
        <v>72</v>
      </c>
      <c r="E355" t="s">
        <v>76</v>
      </c>
      <c r="F355" t="s">
        <v>58</v>
      </c>
      <c r="G355">
        <v>741</v>
      </c>
      <c r="H355">
        <v>14.52</v>
      </c>
      <c r="I355">
        <v>80</v>
      </c>
      <c r="J355">
        <v>1202.53</v>
      </c>
      <c r="K355">
        <v>0</v>
      </c>
      <c r="L355" t="s">
        <v>62</v>
      </c>
      <c r="M355">
        <v>0</v>
      </c>
      <c r="N355">
        <v>0</v>
      </c>
      <c r="O355">
        <v>21.6</v>
      </c>
      <c r="P355">
        <v>1</v>
      </c>
      <c r="Q355">
        <v>1</v>
      </c>
      <c r="R355">
        <v>2</v>
      </c>
      <c r="S355" t="s">
        <v>63</v>
      </c>
      <c r="T355">
        <v>0</v>
      </c>
      <c r="U355">
        <v>0</v>
      </c>
      <c r="V355">
        <v>0</v>
      </c>
      <c r="W355">
        <v>0</v>
      </c>
      <c r="X355" t="s">
        <v>58</v>
      </c>
    </row>
    <row r="356" customHeight="1" spans="1:24">
      <c r="A356" t="s">
        <v>419</v>
      </c>
      <c r="B356">
        <v>63</v>
      </c>
      <c r="C356">
        <v>41</v>
      </c>
      <c r="D356" t="s">
        <v>72</v>
      </c>
      <c r="E356" t="s">
        <v>69</v>
      </c>
      <c r="F356" t="s">
        <v>58</v>
      </c>
      <c r="G356">
        <v>431</v>
      </c>
      <c r="H356">
        <v>21.84</v>
      </c>
      <c r="I356">
        <v>57</v>
      </c>
      <c r="J356">
        <v>1276.93</v>
      </c>
      <c r="K356">
        <v>0</v>
      </c>
      <c r="L356" t="s">
        <v>62</v>
      </c>
      <c r="M356">
        <v>1</v>
      </c>
      <c r="N356">
        <v>2</v>
      </c>
      <c r="O356">
        <v>36.4</v>
      </c>
      <c r="P356">
        <v>0</v>
      </c>
      <c r="Q356">
        <v>0</v>
      </c>
      <c r="R356">
        <v>1</v>
      </c>
      <c r="S356" t="s">
        <v>63</v>
      </c>
      <c r="T356">
        <v>1</v>
      </c>
      <c r="U356">
        <v>0</v>
      </c>
      <c r="V356">
        <v>0</v>
      </c>
      <c r="W356">
        <v>0</v>
      </c>
      <c r="X356" t="s">
        <v>58</v>
      </c>
    </row>
    <row r="357" customHeight="1" spans="1:24">
      <c r="A357" t="s">
        <v>420</v>
      </c>
      <c r="B357">
        <v>75</v>
      </c>
      <c r="C357">
        <v>40</v>
      </c>
      <c r="D357" t="s">
        <v>53</v>
      </c>
      <c r="E357" t="s">
        <v>76</v>
      </c>
      <c r="F357" t="s">
        <v>55</v>
      </c>
      <c r="G357">
        <v>284</v>
      </c>
      <c r="H357">
        <v>2.34</v>
      </c>
      <c r="I357">
        <v>221</v>
      </c>
      <c r="J357">
        <v>490.14</v>
      </c>
      <c r="K357">
        <v>0</v>
      </c>
      <c r="L357" t="s">
        <v>62</v>
      </c>
      <c r="M357">
        <v>0</v>
      </c>
      <c r="N357">
        <v>0</v>
      </c>
      <c r="O357">
        <v>20.5</v>
      </c>
      <c r="P357">
        <v>1</v>
      </c>
      <c r="Q357">
        <v>1</v>
      </c>
      <c r="R357">
        <v>0</v>
      </c>
      <c r="S357" t="s">
        <v>63</v>
      </c>
      <c r="T357">
        <v>0</v>
      </c>
      <c r="U357">
        <v>0</v>
      </c>
      <c r="V357">
        <v>1</v>
      </c>
      <c r="W357">
        <v>1</v>
      </c>
      <c r="X357" t="s">
        <v>55</v>
      </c>
    </row>
    <row r="358" customHeight="1" spans="1:24">
      <c r="A358" t="s">
        <v>421</v>
      </c>
      <c r="B358">
        <v>57</v>
      </c>
      <c r="C358">
        <v>30</v>
      </c>
      <c r="D358" t="s">
        <v>53</v>
      </c>
      <c r="E358" t="s">
        <v>76</v>
      </c>
      <c r="F358" t="s">
        <v>55</v>
      </c>
      <c r="G358">
        <v>462</v>
      </c>
      <c r="H358">
        <v>33.2</v>
      </c>
      <c r="I358">
        <v>59</v>
      </c>
      <c r="J358">
        <v>404.95</v>
      </c>
      <c r="K358">
        <v>1</v>
      </c>
      <c r="L358" t="s">
        <v>56</v>
      </c>
      <c r="M358">
        <v>2</v>
      </c>
      <c r="N358">
        <v>2</v>
      </c>
      <c r="O358">
        <v>27</v>
      </c>
      <c r="P358">
        <v>1</v>
      </c>
      <c r="Q358">
        <v>0</v>
      </c>
      <c r="R358">
        <v>0</v>
      </c>
      <c r="S358" t="s">
        <v>63</v>
      </c>
      <c r="T358">
        <v>1</v>
      </c>
      <c r="U358">
        <v>1</v>
      </c>
      <c r="V358">
        <v>0</v>
      </c>
      <c r="W358">
        <v>1</v>
      </c>
      <c r="X358" t="s">
        <v>55</v>
      </c>
    </row>
    <row r="359" customHeight="1" spans="1:24">
      <c r="A359" t="s">
        <v>422</v>
      </c>
      <c r="B359">
        <v>39</v>
      </c>
      <c r="C359">
        <v>35</v>
      </c>
      <c r="D359" t="s">
        <v>72</v>
      </c>
      <c r="E359" t="s">
        <v>76</v>
      </c>
      <c r="F359" t="s">
        <v>55</v>
      </c>
      <c r="G359">
        <v>329</v>
      </c>
      <c r="H359">
        <v>13.23</v>
      </c>
      <c r="I359">
        <v>159</v>
      </c>
      <c r="J359">
        <v>1153.79</v>
      </c>
      <c r="K359">
        <v>0</v>
      </c>
      <c r="L359" t="s">
        <v>62</v>
      </c>
      <c r="M359">
        <v>1</v>
      </c>
      <c r="N359">
        <v>1</v>
      </c>
      <c r="O359">
        <v>20.3</v>
      </c>
      <c r="P359">
        <v>1</v>
      </c>
      <c r="Q359">
        <v>0</v>
      </c>
      <c r="R359">
        <v>0</v>
      </c>
      <c r="S359" t="s">
        <v>63</v>
      </c>
      <c r="T359">
        <v>1</v>
      </c>
      <c r="U359">
        <v>0</v>
      </c>
      <c r="V359">
        <v>0</v>
      </c>
      <c r="W359">
        <v>1</v>
      </c>
      <c r="X359" t="s">
        <v>55</v>
      </c>
    </row>
    <row r="360" customHeight="1" spans="1:24">
      <c r="A360" t="s">
        <v>423</v>
      </c>
      <c r="B360">
        <v>68</v>
      </c>
      <c r="C360">
        <v>60</v>
      </c>
      <c r="D360" t="s">
        <v>53</v>
      </c>
      <c r="E360" t="s">
        <v>76</v>
      </c>
      <c r="F360" t="s">
        <v>58</v>
      </c>
      <c r="G360">
        <v>191</v>
      </c>
      <c r="H360">
        <v>28.51</v>
      </c>
      <c r="I360">
        <v>188</v>
      </c>
      <c r="J360">
        <v>517.89</v>
      </c>
      <c r="K360">
        <v>0</v>
      </c>
      <c r="L360" t="s">
        <v>62</v>
      </c>
      <c r="M360">
        <v>0</v>
      </c>
      <c r="N360">
        <v>0</v>
      </c>
      <c r="O360">
        <v>29.5</v>
      </c>
      <c r="P360">
        <v>1</v>
      </c>
      <c r="Q360">
        <v>0</v>
      </c>
      <c r="R360">
        <v>1</v>
      </c>
      <c r="S360" t="s">
        <v>63</v>
      </c>
      <c r="T360">
        <v>0</v>
      </c>
      <c r="U360">
        <v>0</v>
      </c>
      <c r="V360">
        <v>0</v>
      </c>
      <c r="W360">
        <v>0</v>
      </c>
      <c r="X360" t="s">
        <v>58</v>
      </c>
    </row>
    <row r="361" customHeight="1" spans="1:24">
      <c r="A361" t="s">
        <v>424</v>
      </c>
      <c r="B361">
        <v>32</v>
      </c>
      <c r="C361">
        <v>70</v>
      </c>
      <c r="D361" t="s">
        <v>60</v>
      </c>
      <c r="E361" t="s">
        <v>54</v>
      </c>
      <c r="F361" t="s">
        <v>58</v>
      </c>
      <c r="G361">
        <v>505</v>
      </c>
      <c r="H361">
        <v>16.77</v>
      </c>
      <c r="I361">
        <v>110</v>
      </c>
      <c r="J361">
        <v>727.93</v>
      </c>
      <c r="K361">
        <v>0</v>
      </c>
      <c r="L361" t="s">
        <v>62</v>
      </c>
      <c r="M361">
        <v>1</v>
      </c>
      <c r="N361">
        <v>1</v>
      </c>
      <c r="O361">
        <v>19.5</v>
      </c>
      <c r="P361">
        <v>1</v>
      </c>
      <c r="Q361">
        <v>2</v>
      </c>
      <c r="R361">
        <v>0</v>
      </c>
      <c r="S361" t="s">
        <v>63</v>
      </c>
      <c r="T361">
        <v>1</v>
      </c>
      <c r="U361">
        <v>0</v>
      </c>
      <c r="V361">
        <v>0</v>
      </c>
      <c r="W361">
        <v>0</v>
      </c>
      <c r="X361" t="s">
        <v>58</v>
      </c>
    </row>
    <row r="362" customHeight="1" spans="1:24">
      <c r="A362" t="s">
        <v>425</v>
      </c>
      <c r="B362">
        <v>58</v>
      </c>
      <c r="C362">
        <v>19</v>
      </c>
      <c r="D362" t="s">
        <v>60</v>
      </c>
      <c r="E362" t="s">
        <v>54</v>
      </c>
      <c r="F362" t="s">
        <v>55</v>
      </c>
      <c r="G362">
        <v>568</v>
      </c>
      <c r="H362">
        <v>24.12</v>
      </c>
      <c r="I362">
        <v>24</v>
      </c>
      <c r="J362">
        <v>780.11</v>
      </c>
      <c r="K362">
        <v>0</v>
      </c>
      <c r="L362" t="s">
        <v>62</v>
      </c>
      <c r="M362">
        <v>2</v>
      </c>
      <c r="N362">
        <v>3</v>
      </c>
      <c r="O362">
        <v>43.8</v>
      </c>
      <c r="P362">
        <v>1</v>
      </c>
      <c r="Q362">
        <v>1</v>
      </c>
      <c r="R362">
        <v>0</v>
      </c>
      <c r="S362" t="s">
        <v>57</v>
      </c>
      <c r="T362">
        <v>1</v>
      </c>
      <c r="U362">
        <v>0</v>
      </c>
      <c r="V362">
        <v>0</v>
      </c>
      <c r="W362">
        <v>1</v>
      </c>
      <c r="X362" t="s">
        <v>55</v>
      </c>
    </row>
    <row r="363" customHeight="1" spans="1:24">
      <c r="A363" t="s">
        <v>426</v>
      </c>
      <c r="B363">
        <v>52</v>
      </c>
      <c r="C363">
        <v>49</v>
      </c>
      <c r="D363" t="s">
        <v>60</v>
      </c>
      <c r="E363" t="s">
        <v>76</v>
      </c>
      <c r="F363" t="s">
        <v>58</v>
      </c>
      <c r="G363">
        <v>353</v>
      </c>
      <c r="H363">
        <v>24.71</v>
      </c>
      <c r="I363">
        <v>25</v>
      </c>
      <c r="J363">
        <v>848.29</v>
      </c>
      <c r="K363">
        <v>0</v>
      </c>
      <c r="L363" t="s">
        <v>62</v>
      </c>
      <c r="M363">
        <v>0</v>
      </c>
      <c r="N363">
        <v>0</v>
      </c>
      <c r="O363">
        <v>23.7</v>
      </c>
      <c r="P363">
        <v>0</v>
      </c>
      <c r="Q363">
        <v>2</v>
      </c>
      <c r="R363">
        <v>2</v>
      </c>
      <c r="S363" t="s">
        <v>63</v>
      </c>
      <c r="T363">
        <v>0</v>
      </c>
      <c r="U363">
        <v>0</v>
      </c>
      <c r="V363">
        <v>0</v>
      </c>
      <c r="W363">
        <v>0</v>
      </c>
      <c r="X363" t="s">
        <v>58</v>
      </c>
    </row>
    <row r="364" customHeight="1" spans="1:24">
      <c r="A364" t="s">
        <v>427</v>
      </c>
      <c r="B364">
        <v>67</v>
      </c>
      <c r="C364">
        <v>70</v>
      </c>
      <c r="D364" t="s">
        <v>53</v>
      </c>
      <c r="E364" t="s">
        <v>76</v>
      </c>
      <c r="F364" t="s">
        <v>58</v>
      </c>
      <c r="G364">
        <v>343</v>
      </c>
      <c r="H364">
        <v>13.48</v>
      </c>
      <c r="I364">
        <v>180</v>
      </c>
      <c r="J364">
        <v>457.61</v>
      </c>
      <c r="K364">
        <v>0</v>
      </c>
      <c r="L364" t="s">
        <v>62</v>
      </c>
      <c r="M364">
        <v>1</v>
      </c>
      <c r="N364">
        <v>1</v>
      </c>
      <c r="O364">
        <v>34.5</v>
      </c>
      <c r="P364">
        <v>1</v>
      </c>
      <c r="Q364">
        <v>0</v>
      </c>
      <c r="R364">
        <v>0</v>
      </c>
      <c r="S364" t="s">
        <v>63</v>
      </c>
      <c r="T364">
        <v>1</v>
      </c>
      <c r="U364">
        <v>0</v>
      </c>
      <c r="V364">
        <v>0</v>
      </c>
      <c r="W364">
        <v>0</v>
      </c>
      <c r="X364" t="s">
        <v>58</v>
      </c>
    </row>
    <row r="365" customHeight="1" spans="1:24">
      <c r="A365" t="s">
        <v>428</v>
      </c>
      <c r="B365">
        <v>74</v>
      </c>
      <c r="C365">
        <v>1</v>
      </c>
      <c r="D365" t="s">
        <v>60</v>
      </c>
      <c r="E365" t="s">
        <v>65</v>
      </c>
      <c r="F365" t="s">
        <v>55</v>
      </c>
      <c r="G365">
        <v>256</v>
      </c>
      <c r="H365">
        <v>28.92</v>
      </c>
      <c r="I365">
        <v>32</v>
      </c>
      <c r="J365">
        <v>666.82</v>
      </c>
      <c r="K365">
        <v>0</v>
      </c>
      <c r="L365" t="s">
        <v>62</v>
      </c>
      <c r="M365">
        <v>1</v>
      </c>
      <c r="N365">
        <v>2</v>
      </c>
      <c r="O365">
        <v>42.5</v>
      </c>
      <c r="P365">
        <v>2</v>
      </c>
      <c r="Q365">
        <v>0</v>
      </c>
      <c r="R365">
        <v>1</v>
      </c>
      <c r="S365" t="s">
        <v>66</v>
      </c>
      <c r="T365">
        <v>1</v>
      </c>
      <c r="U365">
        <v>0</v>
      </c>
      <c r="V365">
        <v>0</v>
      </c>
      <c r="W365">
        <v>1</v>
      </c>
      <c r="X365" t="s">
        <v>55</v>
      </c>
    </row>
    <row r="366" customHeight="1" spans="1:24">
      <c r="A366" t="s">
        <v>429</v>
      </c>
      <c r="B366">
        <v>38</v>
      </c>
      <c r="C366">
        <v>57</v>
      </c>
      <c r="D366" t="s">
        <v>60</v>
      </c>
      <c r="E366" t="s">
        <v>69</v>
      </c>
      <c r="F366" t="s">
        <v>58</v>
      </c>
      <c r="G366">
        <v>378</v>
      </c>
      <c r="H366">
        <v>10.41</v>
      </c>
      <c r="I366">
        <v>147</v>
      </c>
      <c r="J366">
        <v>765.91</v>
      </c>
      <c r="K366">
        <v>0</v>
      </c>
      <c r="L366" t="s">
        <v>62</v>
      </c>
      <c r="M366">
        <v>1</v>
      </c>
      <c r="N366">
        <v>1</v>
      </c>
      <c r="O366">
        <v>5.5</v>
      </c>
      <c r="P366">
        <v>0</v>
      </c>
      <c r="Q366">
        <v>0</v>
      </c>
      <c r="R366">
        <v>1</v>
      </c>
      <c r="S366" t="s">
        <v>63</v>
      </c>
      <c r="T366">
        <v>1</v>
      </c>
      <c r="U366">
        <v>0</v>
      </c>
      <c r="V366">
        <v>0</v>
      </c>
      <c r="W366">
        <v>0</v>
      </c>
      <c r="X366" t="s">
        <v>58</v>
      </c>
    </row>
    <row r="367" customHeight="1" spans="1:24">
      <c r="A367" t="s">
        <v>430</v>
      </c>
      <c r="B367">
        <v>23</v>
      </c>
      <c r="C367">
        <v>36</v>
      </c>
      <c r="D367" t="s">
        <v>60</v>
      </c>
      <c r="E367" t="s">
        <v>69</v>
      </c>
      <c r="F367" t="s">
        <v>58</v>
      </c>
      <c r="G367">
        <v>316</v>
      </c>
      <c r="H367">
        <v>25.78</v>
      </c>
      <c r="I367">
        <v>128</v>
      </c>
      <c r="J367">
        <v>740.11</v>
      </c>
      <c r="K367">
        <v>1</v>
      </c>
      <c r="L367" t="s">
        <v>56</v>
      </c>
      <c r="M367">
        <v>1</v>
      </c>
      <c r="N367">
        <v>1</v>
      </c>
      <c r="O367">
        <v>6.9</v>
      </c>
      <c r="P367">
        <v>0</v>
      </c>
      <c r="Q367">
        <v>2</v>
      </c>
      <c r="R367">
        <v>1</v>
      </c>
      <c r="S367" t="s">
        <v>63</v>
      </c>
      <c r="T367">
        <v>1</v>
      </c>
      <c r="U367">
        <v>1</v>
      </c>
      <c r="V367">
        <v>0</v>
      </c>
      <c r="W367">
        <v>0</v>
      </c>
      <c r="X367" t="s">
        <v>58</v>
      </c>
    </row>
    <row r="368" customHeight="1" spans="1:24">
      <c r="A368" t="s">
        <v>431</v>
      </c>
      <c r="B368">
        <v>27</v>
      </c>
      <c r="C368">
        <v>70</v>
      </c>
      <c r="D368" t="s">
        <v>53</v>
      </c>
      <c r="E368" t="s">
        <v>69</v>
      </c>
      <c r="F368" t="s">
        <v>58</v>
      </c>
      <c r="G368">
        <v>248</v>
      </c>
      <c r="H368">
        <v>14.1</v>
      </c>
      <c r="I368">
        <v>146</v>
      </c>
      <c r="J368">
        <v>353.68</v>
      </c>
      <c r="K368">
        <v>0</v>
      </c>
      <c r="L368" t="s">
        <v>62</v>
      </c>
      <c r="M368">
        <v>0</v>
      </c>
      <c r="N368">
        <v>1</v>
      </c>
      <c r="O368">
        <v>20.1</v>
      </c>
      <c r="P368">
        <v>0</v>
      </c>
      <c r="Q368">
        <v>0</v>
      </c>
      <c r="R368">
        <v>0</v>
      </c>
      <c r="S368" t="s">
        <v>63</v>
      </c>
      <c r="T368">
        <v>0</v>
      </c>
      <c r="U368">
        <v>0</v>
      </c>
      <c r="V368">
        <v>0</v>
      </c>
      <c r="W368">
        <v>0</v>
      </c>
      <c r="X368" t="s">
        <v>58</v>
      </c>
    </row>
    <row r="369" customHeight="1" spans="1:24">
      <c r="A369" t="s">
        <v>432</v>
      </c>
      <c r="B369">
        <v>60</v>
      </c>
      <c r="C369">
        <v>42</v>
      </c>
      <c r="D369" t="s">
        <v>60</v>
      </c>
      <c r="E369" t="s">
        <v>54</v>
      </c>
      <c r="F369" t="s">
        <v>58</v>
      </c>
      <c r="G369">
        <v>684</v>
      </c>
      <c r="H369">
        <v>21.5</v>
      </c>
      <c r="I369">
        <v>153</v>
      </c>
      <c r="J369">
        <v>776.75</v>
      </c>
      <c r="K369">
        <v>2</v>
      </c>
      <c r="L369" t="s">
        <v>56</v>
      </c>
      <c r="M369">
        <v>1</v>
      </c>
      <c r="N369">
        <v>1</v>
      </c>
      <c r="O369">
        <v>24.5</v>
      </c>
      <c r="P369">
        <v>1</v>
      </c>
      <c r="Q369">
        <v>0</v>
      </c>
      <c r="R369">
        <v>0</v>
      </c>
      <c r="S369" t="s">
        <v>63</v>
      </c>
      <c r="T369">
        <v>1</v>
      </c>
      <c r="U369">
        <v>1</v>
      </c>
      <c r="V369">
        <v>0</v>
      </c>
      <c r="W369">
        <v>0</v>
      </c>
      <c r="X369" t="s">
        <v>58</v>
      </c>
    </row>
    <row r="370" customHeight="1" spans="1:24">
      <c r="A370" t="s">
        <v>433</v>
      </c>
      <c r="B370">
        <v>39</v>
      </c>
      <c r="C370">
        <v>61</v>
      </c>
      <c r="D370" t="s">
        <v>60</v>
      </c>
      <c r="E370" t="s">
        <v>61</v>
      </c>
      <c r="F370" t="s">
        <v>55</v>
      </c>
      <c r="G370">
        <v>470</v>
      </c>
      <c r="H370">
        <v>13.38</v>
      </c>
      <c r="I370">
        <v>55</v>
      </c>
      <c r="J370">
        <v>719.51</v>
      </c>
      <c r="K370">
        <v>0</v>
      </c>
      <c r="L370" t="s">
        <v>62</v>
      </c>
      <c r="M370">
        <v>0</v>
      </c>
      <c r="N370">
        <v>0</v>
      </c>
      <c r="O370">
        <v>21.6</v>
      </c>
      <c r="P370">
        <v>2</v>
      </c>
      <c r="Q370">
        <v>1</v>
      </c>
      <c r="R370">
        <v>0</v>
      </c>
      <c r="S370" t="s">
        <v>63</v>
      </c>
      <c r="T370">
        <v>0</v>
      </c>
      <c r="U370">
        <v>0</v>
      </c>
      <c r="V370">
        <v>0</v>
      </c>
      <c r="W370">
        <v>1</v>
      </c>
      <c r="X370" t="s">
        <v>55</v>
      </c>
    </row>
    <row r="371" customHeight="1" spans="1:24">
      <c r="A371" t="s">
        <v>434</v>
      </c>
      <c r="B371">
        <v>26</v>
      </c>
      <c r="C371">
        <v>12</v>
      </c>
      <c r="D371" t="s">
        <v>53</v>
      </c>
      <c r="E371" t="s">
        <v>54</v>
      </c>
      <c r="F371" t="s">
        <v>58</v>
      </c>
      <c r="G371">
        <v>486</v>
      </c>
      <c r="H371">
        <v>18.5</v>
      </c>
      <c r="I371">
        <v>52</v>
      </c>
      <c r="J371">
        <v>420.56</v>
      </c>
      <c r="K371">
        <v>1</v>
      </c>
      <c r="L371" t="s">
        <v>56</v>
      </c>
      <c r="M371">
        <v>0</v>
      </c>
      <c r="N371">
        <v>1</v>
      </c>
      <c r="O371">
        <v>4.3</v>
      </c>
      <c r="P371">
        <v>0</v>
      </c>
      <c r="Q371">
        <v>0</v>
      </c>
      <c r="R371">
        <v>0</v>
      </c>
      <c r="S371" t="s">
        <v>57</v>
      </c>
      <c r="T371">
        <v>0</v>
      </c>
      <c r="U371">
        <v>1</v>
      </c>
      <c r="V371">
        <v>0</v>
      </c>
      <c r="W371">
        <v>0</v>
      </c>
      <c r="X371" t="s">
        <v>58</v>
      </c>
    </row>
    <row r="372" customHeight="1" spans="1:24">
      <c r="A372" t="s">
        <v>435</v>
      </c>
      <c r="B372">
        <v>65</v>
      </c>
      <c r="C372">
        <v>11</v>
      </c>
      <c r="D372" t="s">
        <v>53</v>
      </c>
      <c r="E372" t="s">
        <v>54</v>
      </c>
      <c r="F372" t="s">
        <v>58</v>
      </c>
      <c r="G372">
        <v>533</v>
      </c>
      <c r="H372">
        <v>7.25</v>
      </c>
      <c r="I372">
        <v>170</v>
      </c>
      <c r="J372">
        <v>412.63</v>
      </c>
      <c r="K372">
        <v>0</v>
      </c>
      <c r="L372" t="s">
        <v>62</v>
      </c>
      <c r="M372">
        <v>0</v>
      </c>
      <c r="N372">
        <v>1</v>
      </c>
      <c r="O372">
        <v>37.8</v>
      </c>
      <c r="P372">
        <v>0</v>
      </c>
      <c r="Q372">
        <v>1</v>
      </c>
      <c r="R372">
        <v>1</v>
      </c>
      <c r="S372" t="s">
        <v>57</v>
      </c>
      <c r="T372">
        <v>0</v>
      </c>
      <c r="U372">
        <v>0</v>
      </c>
      <c r="V372">
        <v>0</v>
      </c>
      <c r="W372">
        <v>0</v>
      </c>
      <c r="X372" t="s">
        <v>58</v>
      </c>
    </row>
    <row r="373" customHeight="1" spans="1:24">
      <c r="A373" t="s">
        <v>436</v>
      </c>
      <c r="B373">
        <v>55</v>
      </c>
      <c r="C373">
        <v>67</v>
      </c>
      <c r="D373" t="s">
        <v>53</v>
      </c>
      <c r="E373" t="s">
        <v>117</v>
      </c>
      <c r="F373" t="s">
        <v>55</v>
      </c>
      <c r="G373">
        <v>516</v>
      </c>
      <c r="H373">
        <v>20.48</v>
      </c>
      <c r="I373">
        <v>76</v>
      </c>
      <c r="J373">
        <v>450.5</v>
      </c>
      <c r="K373">
        <v>0</v>
      </c>
      <c r="L373" t="s">
        <v>62</v>
      </c>
      <c r="M373">
        <v>3</v>
      </c>
      <c r="N373">
        <v>3</v>
      </c>
      <c r="O373">
        <v>49.9</v>
      </c>
      <c r="P373">
        <v>2</v>
      </c>
      <c r="Q373">
        <v>1</v>
      </c>
      <c r="R373">
        <v>0</v>
      </c>
      <c r="S373" t="s">
        <v>63</v>
      </c>
      <c r="T373">
        <v>1</v>
      </c>
      <c r="U373">
        <v>0</v>
      </c>
      <c r="V373">
        <v>0</v>
      </c>
      <c r="W373">
        <v>1</v>
      </c>
      <c r="X373" t="s">
        <v>58</v>
      </c>
    </row>
    <row r="374" customHeight="1" spans="1:24">
      <c r="A374" t="s">
        <v>437</v>
      </c>
      <c r="B374">
        <v>25</v>
      </c>
      <c r="C374">
        <v>38</v>
      </c>
      <c r="D374" t="s">
        <v>53</v>
      </c>
      <c r="E374" t="s">
        <v>65</v>
      </c>
      <c r="F374" t="s">
        <v>55</v>
      </c>
      <c r="G374">
        <v>338</v>
      </c>
      <c r="H374">
        <v>18.44</v>
      </c>
      <c r="I374">
        <v>0</v>
      </c>
      <c r="J374">
        <v>412.53</v>
      </c>
      <c r="K374">
        <v>0</v>
      </c>
      <c r="L374" t="s">
        <v>62</v>
      </c>
      <c r="M374">
        <v>2</v>
      </c>
      <c r="N374">
        <v>2</v>
      </c>
      <c r="O374">
        <v>39.4</v>
      </c>
      <c r="P374">
        <v>2</v>
      </c>
      <c r="Q374">
        <v>0</v>
      </c>
      <c r="R374">
        <v>0</v>
      </c>
      <c r="S374" t="s">
        <v>63</v>
      </c>
      <c r="T374">
        <v>1</v>
      </c>
      <c r="U374">
        <v>0</v>
      </c>
      <c r="V374">
        <v>0</v>
      </c>
      <c r="W374">
        <v>1</v>
      </c>
      <c r="X374" t="s">
        <v>55</v>
      </c>
    </row>
    <row r="375" customHeight="1" spans="1:24">
      <c r="A375" t="s">
        <v>438</v>
      </c>
      <c r="B375">
        <v>59</v>
      </c>
      <c r="C375">
        <v>41</v>
      </c>
      <c r="D375" t="s">
        <v>53</v>
      </c>
      <c r="E375" t="s">
        <v>54</v>
      </c>
      <c r="F375" t="s">
        <v>58</v>
      </c>
      <c r="G375">
        <v>441</v>
      </c>
      <c r="H375">
        <v>12.6</v>
      </c>
      <c r="I375">
        <v>165</v>
      </c>
      <c r="J375">
        <v>347.63</v>
      </c>
      <c r="K375">
        <v>3</v>
      </c>
      <c r="L375" t="s">
        <v>56</v>
      </c>
      <c r="M375">
        <v>0</v>
      </c>
      <c r="N375">
        <v>0</v>
      </c>
      <c r="O375">
        <v>37</v>
      </c>
      <c r="P375">
        <v>1</v>
      </c>
      <c r="Q375">
        <v>1</v>
      </c>
      <c r="R375">
        <v>0</v>
      </c>
      <c r="S375" t="s">
        <v>63</v>
      </c>
      <c r="T375">
        <v>0</v>
      </c>
      <c r="U375">
        <v>1</v>
      </c>
      <c r="V375">
        <v>0</v>
      </c>
      <c r="W375">
        <v>0</v>
      </c>
      <c r="X375" t="s">
        <v>58</v>
      </c>
    </row>
    <row r="376" customHeight="1" spans="1:24">
      <c r="A376" t="s">
        <v>439</v>
      </c>
      <c r="B376">
        <v>55</v>
      </c>
      <c r="C376">
        <v>13</v>
      </c>
      <c r="D376" t="s">
        <v>72</v>
      </c>
      <c r="E376" t="s">
        <v>61</v>
      </c>
      <c r="F376" t="s">
        <v>58</v>
      </c>
      <c r="G376">
        <v>360</v>
      </c>
      <c r="H376">
        <v>17.45</v>
      </c>
      <c r="I376">
        <v>47</v>
      </c>
      <c r="J376">
        <v>1127.91</v>
      </c>
      <c r="K376">
        <v>0</v>
      </c>
      <c r="L376" t="s">
        <v>62</v>
      </c>
      <c r="M376">
        <v>2</v>
      </c>
      <c r="N376">
        <v>2</v>
      </c>
      <c r="O376">
        <v>26.7</v>
      </c>
      <c r="P376">
        <v>1</v>
      </c>
      <c r="Q376">
        <v>0</v>
      </c>
      <c r="R376">
        <v>0</v>
      </c>
      <c r="S376" t="s">
        <v>57</v>
      </c>
      <c r="T376">
        <v>1</v>
      </c>
      <c r="U376">
        <v>0</v>
      </c>
      <c r="V376">
        <v>0</v>
      </c>
      <c r="W376">
        <v>0</v>
      </c>
      <c r="X376" t="s">
        <v>58</v>
      </c>
    </row>
    <row r="377" customHeight="1" spans="1:24">
      <c r="A377" t="s">
        <v>440</v>
      </c>
      <c r="B377">
        <v>75</v>
      </c>
      <c r="C377">
        <v>17</v>
      </c>
      <c r="D377" t="s">
        <v>60</v>
      </c>
      <c r="E377" t="s">
        <v>61</v>
      </c>
      <c r="F377" t="s">
        <v>58</v>
      </c>
      <c r="G377">
        <v>466</v>
      </c>
      <c r="H377">
        <v>19.34</v>
      </c>
      <c r="I377">
        <v>153</v>
      </c>
      <c r="J377">
        <v>906.04</v>
      </c>
      <c r="K377">
        <v>1</v>
      </c>
      <c r="L377" t="s">
        <v>56</v>
      </c>
      <c r="M377">
        <v>0</v>
      </c>
      <c r="N377">
        <v>1</v>
      </c>
      <c r="O377">
        <v>13.9</v>
      </c>
      <c r="P377">
        <v>0</v>
      </c>
      <c r="Q377">
        <v>1</v>
      </c>
      <c r="R377">
        <v>0</v>
      </c>
      <c r="S377" t="s">
        <v>57</v>
      </c>
      <c r="T377">
        <v>0</v>
      </c>
      <c r="U377">
        <v>1</v>
      </c>
      <c r="V377">
        <v>0</v>
      </c>
      <c r="W377">
        <v>0</v>
      </c>
      <c r="X377" t="s">
        <v>58</v>
      </c>
    </row>
    <row r="378" customHeight="1" spans="1:24">
      <c r="A378" t="s">
        <v>441</v>
      </c>
      <c r="B378">
        <v>75</v>
      </c>
      <c r="C378">
        <v>59</v>
      </c>
      <c r="D378" t="s">
        <v>72</v>
      </c>
      <c r="E378" t="s">
        <v>61</v>
      </c>
      <c r="F378" t="s">
        <v>58</v>
      </c>
      <c r="G378">
        <v>451</v>
      </c>
      <c r="H378">
        <v>11.84</v>
      </c>
      <c r="I378">
        <v>217</v>
      </c>
      <c r="J378">
        <v>943.28</v>
      </c>
      <c r="K378">
        <v>0</v>
      </c>
      <c r="L378" t="s">
        <v>62</v>
      </c>
      <c r="M378">
        <v>0</v>
      </c>
      <c r="N378">
        <v>1</v>
      </c>
      <c r="O378">
        <v>24.9</v>
      </c>
      <c r="P378">
        <v>0</v>
      </c>
      <c r="Q378">
        <v>0</v>
      </c>
      <c r="R378">
        <v>1</v>
      </c>
      <c r="S378" t="s">
        <v>63</v>
      </c>
      <c r="T378">
        <v>0</v>
      </c>
      <c r="U378">
        <v>0</v>
      </c>
      <c r="V378">
        <v>0</v>
      </c>
      <c r="W378">
        <v>0</v>
      </c>
      <c r="X378" t="s">
        <v>58</v>
      </c>
    </row>
    <row r="379" customHeight="1" spans="1:24">
      <c r="A379" t="s">
        <v>442</v>
      </c>
      <c r="B379">
        <v>74</v>
      </c>
      <c r="C379">
        <v>22</v>
      </c>
      <c r="D379" t="s">
        <v>72</v>
      </c>
      <c r="E379" t="s">
        <v>69</v>
      </c>
      <c r="F379" t="s">
        <v>58</v>
      </c>
      <c r="G379">
        <v>343</v>
      </c>
      <c r="H379">
        <v>16.71</v>
      </c>
      <c r="I379">
        <v>121</v>
      </c>
      <c r="J379">
        <v>1079.35</v>
      </c>
      <c r="K379">
        <v>0</v>
      </c>
      <c r="L379" t="s">
        <v>62</v>
      </c>
      <c r="M379">
        <v>0</v>
      </c>
      <c r="N379">
        <v>0</v>
      </c>
      <c r="O379">
        <v>49.3</v>
      </c>
      <c r="P379">
        <v>2</v>
      </c>
      <c r="Q379">
        <v>2</v>
      </c>
      <c r="R379">
        <v>0</v>
      </c>
      <c r="S379" t="s">
        <v>57</v>
      </c>
      <c r="T379">
        <v>0</v>
      </c>
      <c r="U379">
        <v>0</v>
      </c>
      <c r="V379">
        <v>0</v>
      </c>
      <c r="W379">
        <v>0</v>
      </c>
      <c r="X379" t="s">
        <v>58</v>
      </c>
    </row>
    <row r="380" customHeight="1" spans="1:24">
      <c r="A380" t="s">
        <v>443</v>
      </c>
      <c r="B380">
        <v>69</v>
      </c>
      <c r="C380">
        <v>43</v>
      </c>
      <c r="D380" t="s">
        <v>53</v>
      </c>
      <c r="E380" t="s">
        <v>69</v>
      </c>
      <c r="F380" t="s">
        <v>58</v>
      </c>
      <c r="G380">
        <v>201</v>
      </c>
      <c r="H380">
        <v>7.94</v>
      </c>
      <c r="I380">
        <v>190</v>
      </c>
      <c r="J380">
        <v>470.92</v>
      </c>
      <c r="K380">
        <v>0</v>
      </c>
      <c r="L380" t="s">
        <v>62</v>
      </c>
      <c r="M380">
        <v>1</v>
      </c>
      <c r="N380">
        <v>1</v>
      </c>
      <c r="O380">
        <v>19.8</v>
      </c>
      <c r="P380">
        <v>0</v>
      </c>
      <c r="Q380">
        <v>2</v>
      </c>
      <c r="R380">
        <v>1</v>
      </c>
      <c r="S380" t="s">
        <v>63</v>
      </c>
      <c r="T380">
        <v>1</v>
      </c>
      <c r="U380">
        <v>0</v>
      </c>
      <c r="V380">
        <v>0</v>
      </c>
      <c r="W380">
        <v>0</v>
      </c>
      <c r="X380" t="s">
        <v>58</v>
      </c>
    </row>
    <row r="381" customHeight="1" spans="1:24">
      <c r="A381" t="s">
        <v>444</v>
      </c>
      <c r="B381">
        <v>64</v>
      </c>
      <c r="C381">
        <v>23</v>
      </c>
      <c r="D381" t="s">
        <v>60</v>
      </c>
      <c r="E381" t="s">
        <v>65</v>
      </c>
      <c r="F381" t="s">
        <v>58</v>
      </c>
      <c r="G381">
        <v>422</v>
      </c>
      <c r="H381">
        <v>17.41</v>
      </c>
      <c r="I381">
        <v>131</v>
      </c>
      <c r="J381">
        <v>743.62</v>
      </c>
      <c r="K381">
        <v>0</v>
      </c>
      <c r="L381" t="s">
        <v>62</v>
      </c>
      <c r="M381">
        <v>2</v>
      </c>
      <c r="N381">
        <v>3</v>
      </c>
      <c r="O381">
        <v>18.5</v>
      </c>
      <c r="P381">
        <v>0</v>
      </c>
      <c r="Q381">
        <v>0</v>
      </c>
      <c r="R381">
        <v>0</v>
      </c>
      <c r="S381" t="s">
        <v>57</v>
      </c>
      <c r="T381">
        <v>1</v>
      </c>
      <c r="U381">
        <v>0</v>
      </c>
      <c r="V381">
        <v>1</v>
      </c>
      <c r="W381">
        <v>0</v>
      </c>
      <c r="X381" t="s">
        <v>58</v>
      </c>
    </row>
    <row r="382" customHeight="1" spans="1:24">
      <c r="A382" t="s">
        <v>445</v>
      </c>
      <c r="B382">
        <v>56</v>
      </c>
      <c r="C382">
        <v>19</v>
      </c>
      <c r="D382" t="s">
        <v>72</v>
      </c>
      <c r="E382" t="s">
        <v>61</v>
      </c>
      <c r="F382" t="s">
        <v>58</v>
      </c>
      <c r="G382">
        <v>369</v>
      </c>
      <c r="H382">
        <v>28.59</v>
      </c>
      <c r="I382">
        <v>231</v>
      </c>
      <c r="J382">
        <v>1062.13</v>
      </c>
      <c r="K382">
        <v>0</v>
      </c>
      <c r="L382" t="s">
        <v>62</v>
      </c>
      <c r="M382">
        <v>2</v>
      </c>
      <c r="N382">
        <v>2</v>
      </c>
      <c r="O382">
        <v>37.3</v>
      </c>
      <c r="P382">
        <v>0</v>
      </c>
      <c r="Q382">
        <v>0</v>
      </c>
      <c r="R382">
        <v>2</v>
      </c>
      <c r="S382" t="s">
        <v>57</v>
      </c>
      <c r="T382">
        <v>1</v>
      </c>
      <c r="U382">
        <v>0</v>
      </c>
      <c r="V382">
        <v>0</v>
      </c>
      <c r="W382">
        <v>0</v>
      </c>
      <c r="X382" t="s">
        <v>58</v>
      </c>
    </row>
    <row r="383" customHeight="1" spans="1:24">
      <c r="A383" t="s">
        <v>446</v>
      </c>
      <c r="B383">
        <v>49</v>
      </c>
      <c r="C383">
        <v>12</v>
      </c>
      <c r="D383" t="s">
        <v>60</v>
      </c>
      <c r="E383" t="s">
        <v>61</v>
      </c>
      <c r="F383" t="s">
        <v>58</v>
      </c>
      <c r="G383">
        <v>116</v>
      </c>
      <c r="H383">
        <v>20.73</v>
      </c>
      <c r="I383">
        <v>46</v>
      </c>
      <c r="J383">
        <v>717.09</v>
      </c>
      <c r="K383">
        <v>0</v>
      </c>
      <c r="L383" t="s">
        <v>62</v>
      </c>
      <c r="M383">
        <v>1</v>
      </c>
      <c r="N383">
        <v>2</v>
      </c>
      <c r="O383">
        <v>38.1</v>
      </c>
      <c r="P383">
        <v>1</v>
      </c>
      <c r="Q383">
        <v>2</v>
      </c>
      <c r="R383">
        <v>0</v>
      </c>
      <c r="S383" t="s">
        <v>57</v>
      </c>
      <c r="T383">
        <v>1</v>
      </c>
      <c r="U383">
        <v>0</v>
      </c>
      <c r="V383">
        <v>0</v>
      </c>
      <c r="W383">
        <v>0</v>
      </c>
      <c r="X383" t="s">
        <v>58</v>
      </c>
    </row>
    <row r="384" customHeight="1" spans="1:24">
      <c r="A384" t="s">
        <v>447</v>
      </c>
      <c r="B384">
        <v>63</v>
      </c>
      <c r="C384">
        <v>67</v>
      </c>
      <c r="D384" t="s">
        <v>60</v>
      </c>
      <c r="E384" t="s">
        <v>54</v>
      </c>
      <c r="F384" t="s">
        <v>58</v>
      </c>
      <c r="G384">
        <v>476</v>
      </c>
      <c r="H384">
        <v>29.72</v>
      </c>
      <c r="I384">
        <v>119</v>
      </c>
      <c r="J384">
        <v>724.42</v>
      </c>
      <c r="K384">
        <v>0</v>
      </c>
      <c r="L384" t="s">
        <v>62</v>
      </c>
      <c r="M384">
        <v>0</v>
      </c>
      <c r="N384">
        <v>1</v>
      </c>
      <c r="O384">
        <v>13.8</v>
      </c>
      <c r="P384">
        <v>2</v>
      </c>
      <c r="Q384">
        <v>0</v>
      </c>
      <c r="R384">
        <v>0</v>
      </c>
      <c r="S384" t="s">
        <v>63</v>
      </c>
      <c r="T384">
        <v>0</v>
      </c>
      <c r="U384">
        <v>0</v>
      </c>
      <c r="V384">
        <v>0</v>
      </c>
      <c r="W384">
        <v>0</v>
      </c>
      <c r="X384" t="s">
        <v>58</v>
      </c>
    </row>
    <row r="385" customHeight="1" spans="1:24">
      <c r="A385" t="s">
        <v>448</v>
      </c>
      <c r="B385">
        <v>74</v>
      </c>
      <c r="C385">
        <v>68</v>
      </c>
      <c r="D385" t="s">
        <v>60</v>
      </c>
      <c r="E385" t="s">
        <v>76</v>
      </c>
      <c r="F385" t="s">
        <v>58</v>
      </c>
      <c r="G385">
        <v>545</v>
      </c>
      <c r="H385">
        <v>0.5</v>
      </c>
      <c r="I385">
        <v>167</v>
      </c>
      <c r="J385">
        <v>835.42</v>
      </c>
      <c r="K385">
        <v>0</v>
      </c>
      <c r="L385" t="s">
        <v>62</v>
      </c>
      <c r="M385">
        <v>0</v>
      </c>
      <c r="N385">
        <v>0</v>
      </c>
      <c r="O385">
        <v>20.9</v>
      </c>
      <c r="P385">
        <v>3</v>
      </c>
      <c r="Q385">
        <v>0</v>
      </c>
      <c r="R385">
        <v>0</v>
      </c>
      <c r="S385" t="s">
        <v>63</v>
      </c>
      <c r="T385">
        <v>0</v>
      </c>
      <c r="U385">
        <v>0</v>
      </c>
      <c r="V385">
        <v>1</v>
      </c>
      <c r="W385">
        <v>0</v>
      </c>
      <c r="X385" t="s">
        <v>58</v>
      </c>
    </row>
    <row r="386" customHeight="1" spans="1:24">
      <c r="A386" t="s">
        <v>449</v>
      </c>
      <c r="B386">
        <v>24</v>
      </c>
      <c r="C386">
        <v>9</v>
      </c>
      <c r="D386" t="s">
        <v>53</v>
      </c>
      <c r="E386" t="s">
        <v>65</v>
      </c>
      <c r="F386" t="s">
        <v>58</v>
      </c>
      <c r="G386">
        <v>779</v>
      </c>
      <c r="H386">
        <v>0.5</v>
      </c>
      <c r="I386">
        <v>107</v>
      </c>
      <c r="J386">
        <v>584.71</v>
      </c>
      <c r="K386">
        <v>0</v>
      </c>
      <c r="L386" t="s">
        <v>62</v>
      </c>
      <c r="M386">
        <v>0</v>
      </c>
      <c r="N386">
        <v>0</v>
      </c>
      <c r="O386">
        <v>23.7</v>
      </c>
      <c r="P386">
        <v>0</v>
      </c>
      <c r="Q386">
        <v>0</v>
      </c>
      <c r="R386">
        <v>1</v>
      </c>
      <c r="S386" t="s">
        <v>57</v>
      </c>
      <c r="T386">
        <v>0</v>
      </c>
      <c r="U386">
        <v>0</v>
      </c>
      <c r="V386">
        <v>1</v>
      </c>
      <c r="W386">
        <v>0</v>
      </c>
      <c r="X386" t="s">
        <v>58</v>
      </c>
    </row>
    <row r="387" customHeight="1" spans="1:24">
      <c r="A387" t="s">
        <v>450</v>
      </c>
      <c r="B387">
        <v>25</v>
      </c>
      <c r="C387">
        <v>26</v>
      </c>
      <c r="D387" t="s">
        <v>60</v>
      </c>
      <c r="E387" t="s">
        <v>54</v>
      </c>
      <c r="F387" t="s">
        <v>58</v>
      </c>
      <c r="G387">
        <v>341</v>
      </c>
      <c r="H387">
        <v>14.01</v>
      </c>
      <c r="I387">
        <v>201</v>
      </c>
      <c r="J387">
        <v>773.53</v>
      </c>
      <c r="K387">
        <v>0</v>
      </c>
      <c r="L387" t="s">
        <v>62</v>
      </c>
      <c r="M387">
        <v>0</v>
      </c>
      <c r="N387">
        <v>2</v>
      </c>
      <c r="O387">
        <v>24.8</v>
      </c>
      <c r="P387">
        <v>0</v>
      </c>
      <c r="Q387">
        <v>1</v>
      </c>
      <c r="R387">
        <v>1</v>
      </c>
      <c r="S387" t="s">
        <v>63</v>
      </c>
      <c r="T387">
        <v>0</v>
      </c>
      <c r="U387">
        <v>0</v>
      </c>
      <c r="V387">
        <v>0</v>
      </c>
      <c r="W387">
        <v>0</v>
      </c>
      <c r="X387" t="s">
        <v>58</v>
      </c>
    </row>
    <row r="388" customHeight="1" spans="1:24">
      <c r="A388" t="s">
        <v>451</v>
      </c>
      <c r="B388">
        <v>46</v>
      </c>
      <c r="C388">
        <v>41</v>
      </c>
      <c r="D388" t="s">
        <v>72</v>
      </c>
      <c r="E388" t="s">
        <v>76</v>
      </c>
      <c r="F388" t="s">
        <v>55</v>
      </c>
      <c r="G388">
        <v>319</v>
      </c>
      <c r="H388">
        <v>4.21</v>
      </c>
      <c r="I388">
        <v>90</v>
      </c>
      <c r="J388">
        <v>866.52</v>
      </c>
      <c r="K388">
        <v>0</v>
      </c>
      <c r="L388" t="s">
        <v>62</v>
      </c>
      <c r="M388">
        <v>1</v>
      </c>
      <c r="N388">
        <v>3</v>
      </c>
      <c r="O388">
        <v>37.2</v>
      </c>
      <c r="P388">
        <v>1</v>
      </c>
      <c r="Q388">
        <v>1</v>
      </c>
      <c r="R388">
        <v>0</v>
      </c>
      <c r="S388" t="s">
        <v>63</v>
      </c>
      <c r="T388">
        <v>1</v>
      </c>
      <c r="U388">
        <v>0</v>
      </c>
      <c r="V388">
        <v>1</v>
      </c>
      <c r="W388">
        <v>1</v>
      </c>
      <c r="X388" t="s">
        <v>55</v>
      </c>
    </row>
    <row r="389" customHeight="1" spans="1:24">
      <c r="A389" t="s">
        <v>452</v>
      </c>
      <c r="B389">
        <v>35</v>
      </c>
      <c r="C389">
        <v>28</v>
      </c>
      <c r="D389" t="s">
        <v>72</v>
      </c>
      <c r="E389" t="s">
        <v>61</v>
      </c>
      <c r="F389" t="s">
        <v>58</v>
      </c>
      <c r="G389">
        <v>234</v>
      </c>
      <c r="H389">
        <v>15.63</v>
      </c>
      <c r="I389">
        <v>265</v>
      </c>
      <c r="J389">
        <v>952.65</v>
      </c>
      <c r="K389">
        <v>1</v>
      </c>
      <c r="L389" t="s">
        <v>56</v>
      </c>
      <c r="M389">
        <v>0</v>
      </c>
      <c r="N389">
        <v>0</v>
      </c>
      <c r="O389">
        <v>23.7</v>
      </c>
      <c r="P389">
        <v>2</v>
      </c>
      <c r="Q389">
        <v>1</v>
      </c>
      <c r="R389">
        <v>1</v>
      </c>
      <c r="S389" t="s">
        <v>63</v>
      </c>
      <c r="T389">
        <v>0</v>
      </c>
      <c r="U389">
        <v>1</v>
      </c>
      <c r="V389">
        <v>0</v>
      </c>
      <c r="W389">
        <v>0</v>
      </c>
      <c r="X389" t="s">
        <v>58</v>
      </c>
    </row>
    <row r="390" customHeight="1" spans="1:24">
      <c r="A390" t="s">
        <v>453</v>
      </c>
      <c r="B390">
        <v>48</v>
      </c>
      <c r="C390">
        <v>52</v>
      </c>
      <c r="D390" t="s">
        <v>53</v>
      </c>
      <c r="E390" t="s">
        <v>65</v>
      </c>
      <c r="F390" t="s">
        <v>58</v>
      </c>
      <c r="G390">
        <v>431</v>
      </c>
      <c r="H390">
        <v>20.06</v>
      </c>
      <c r="I390">
        <v>269</v>
      </c>
      <c r="J390">
        <v>518.65</v>
      </c>
      <c r="K390">
        <v>0</v>
      </c>
      <c r="L390" t="s">
        <v>62</v>
      </c>
      <c r="M390">
        <v>0</v>
      </c>
      <c r="N390">
        <v>0</v>
      </c>
      <c r="O390">
        <v>23.7</v>
      </c>
      <c r="P390">
        <v>0</v>
      </c>
      <c r="Q390">
        <v>1</v>
      </c>
      <c r="R390">
        <v>0</v>
      </c>
      <c r="S390" t="s">
        <v>63</v>
      </c>
      <c r="T390">
        <v>0</v>
      </c>
      <c r="U390">
        <v>0</v>
      </c>
      <c r="V390">
        <v>0</v>
      </c>
      <c r="W390">
        <v>0</v>
      </c>
      <c r="X390" t="s">
        <v>58</v>
      </c>
    </row>
    <row r="391" customHeight="1" spans="1:24">
      <c r="A391" t="s">
        <v>454</v>
      </c>
      <c r="B391">
        <v>36</v>
      </c>
      <c r="C391">
        <v>19</v>
      </c>
      <c r="D391" t="s">
        <v>60</v>
      </c>
      <c r="E391" t="s">
        <v>54</v>
      </c>
      <c r="F391" t="s">
        <v>58</v>
      </c>
      <c r="G391">
        <v>430</v>
      </c>
      <c r="H391">
        <v>27.2</v>
      </c>
      <c r="I391">
        <v>140</v>
      </c>
      <c r="J391">
        <v>732.22</v>
      </c>
      <c r="K391">
        <v>0</v>
      </c>
      <c r="L391" t="s">
        <v>62</v>
      </c>
      <c r="M391">
        <v>2</v>
      </c>
      <c r="N391">
        <v>2</v>
      </c>
      <c r="O391">
        <v>25.2</v>
      </c>
      <c r="P391">
        <v>2</v>
      </c>
      <c r="Q391">
        <v>1</v>
      </c>
      <c r="R391">
        <v>0</v>
      </c>
      <c r="S391" t="s">
        <v>57</v>
      </c>
      <c r="T391">
        <v>1</v>
      </c>
      <c r="U391">
        <v>0</v>
      </c>
      <c r="V391">
        <v>0</v>
      </c>
      <c r="W391">
        <v>0</v>
      </c>
      <c r="X391" t="s">
        <v>58</v>
      </c>
    </row>
    <row r="392" customHeight="1" spans="1:24">
      <c r="A392" t="s">
        <v>455</v>
      </c>
      <c r="B392">
        <v>63</v>
      </c>
      <c r="C392">
        <v>5</v>
      </c>
      <c r="D392" t="s">
        <v>53</v>
      </c>
      <c r="E392" t="s">
        <v>65</v>
      </c>
      <c r="F392" t="s">
        <v>55</v>
      </c>
      <c r="G392">
        <v>278</v>
      </c>
      <c r="H392">
        <v>6.62</v>
      </c>
      <c r="I392">
        <v>159</v>
      </c>
      <c r="J392">
        <v>380.3</v>
      </c>
      <c r="K392">
        <v>1</v>
      </c>
      <c r="L392" t="s">
        <v>56</v>
      </c>
      <c r="M392">
        <v>1</v>
      </c>
      <c r="N392">
        <v>2</v>
      </c>
      <c r="O392">
        <v>51.9</v>
      </c>
      <c r="P392">
        <v>0</v>
      </c>
      <c r="Q392">
        <v>1</v>
      </c>
      <c r="R392">
        <v>2</v>
      </c>
      <c r="S392" t="s">
        <v>66</v>
      </c>
      <c r="T392">
        <v>1</v>
      </c>
      <c r="U392">
        <v>1</v>
      </c>
      <c r="V392">
        <v>0</v>
      </c>
      <c r="W392">
        <v>1</v>
      </c>
      <c r="X392" t="s">
        <v>55</v>
      </c>
    </row>
    <row r="393" customHeight="1" spans="1:24">
      <c r="A393" t="s">
        <v>456</v>
      </c>
      <c r="B393">
        <v>70</v>
      </c>
      <c r="C393">
        <v>25</v>
      </c>
      <c r="D393" t="s">
        <v>72</v>
      </c>
      <c r="E393" t="s">
        <v>69</v>
      </c>
      <c r="F393" t="s">
        <v>58</v>
      </c>
      <c r="G393">
        <v>374</v>
      </c>
      <c r="H393">
        <v>22</v>
      </c>
      <c r="I393">
        <v>203</v>
      </c>
      <c r="J393">
        <v>907.83</v>
      </c>
      <c r="K393">
        <v>0</v>
      </c>
      <c r="L393" t="s">
        <v>62</v>
      </c>
      <c r="M393">
        <v>2</v>
      </c>
      <c r="N393">
        <v>3</v>
      </c>
      <c r="O393">
        <v>27.8</v>
      </c>
      <c r="P393">
        <v>3</v>
      </c>
      <c r="Q393">
        <v>1</v>
      </c>
      <c r="R393">
        <v>0</v>
      </c>
      <c r="S393" t="s">
        <v>63</v>
      </c>
      <c r="T393">
        <v>1</v>
      </c>
      <c r="U393">
        <v>0</v>
      </c>
      <c r="V393">
        <v>0</v>
      </c>
      <c r="W393">
        <v>0</v>
      </c>
      <c r="X393" t="s">
        <v>58</v>
      </c>
    </row>
    <row r="394" customHeight="1" spans="1:24">
      <c r="A394" t="s">
        <v>457</v>
      </c>
      <c r="B394">
        <v>34</v>
      </c>
      <c r="C394">
        <v>44</v>
      </c>
      <c r="D394" t="s">
        <v>53</v>
      </c>
      <c r="E394" t="s">
        <v>65</v>
      </c>
      <c r="F394" t="s">
        <v>58</v>
      </c>
      <c r="G394">
        <v>103</v>
      </c>
      <c r="H394">
        <v>18.14</v>
      </c>
      <c r="I394">
        <v>37</v>
      </c>
      <c r="J394">
        <v>442.47</v>
      </c>
      <c r="K394">
        <v>0</v>
      </c>
      <c r="L394" t="s">
        <v>62</v>
      </c>
      <c r="M394">
        <v>0</v>
      </c>
      <c r="N394">
        <v>0</v>
      </c>
      <c r="O394">
        <v>22.8</v>
      </c>
      <c r="P394">
        <v>3</v>
      </c>
      <c r="Q394">
        <v>0</v>
      </c>
      <c r="R394">
        <v>2</v>
      </c>
      <c r="S394" t="s">
        <v>63</v>
      </c>
      <c r="T394">
        <v>0</v>
      </c>
      <c r="U394">
        <v>0</v>
      </c>
      <c r="V394">
        <v>0</v>
      </c>
      <c r="W394">
        <v>0</v>
      </c>
      <c r="X394" t="s">
        <v>58</v>
      </c>
    </row>
    <row r="395" customHeight="1" spans="1:24">
      <c r="A395" t="s">
        <v>458</v>
      </c>
      <c r="B395">
        <v>62</v>
      </c>
      <c r="C395">
        <v>14</v>
      </c>
      <c r="D395" t="s">
        <v>72</v>
      </c>
      <c r="E395" t="s">
        <v>54</v>
      </c>
      <c r="F395" t="s">
        <v>58</v>
      </c>
      <c r="G395">
        <v>539</v>
      </c>
      <c r="H395">
        <v>21.48</v>
      </c>
      <c r="I395">
        <v>28</v>
      </c>
      <c r="J395">
        <v>847.79</v>
      </c>
      <c r="K395">
        <v>2</v>
      </c>
      <c r="L395" t="s">
        <v>56</v>
      </c>
      <c r="M395">
        <v>0</v>
      </c>
      <c r="N395">
        <v>0</v>
      </c>
      <c r="O395">
        <v>30.9</v>
      </c>
      <c r="P395">
        <v>1</v>
      </c>
      <c r="Q395">
        <v>1</v>
      </c>
      <c r="R395">
        <v>0</v>
      </c>
      <c r="S395" t="s">
        <v>57</v>
      </c>
      <c r="T395">
        <v>0</v>
      </c>
      <c r="U395">
        <v>1</v>
      </c>
      <c r="V395">
        <v>0</v>
      </c>
      <c r="W395">
        <v>0</v>
      </c>
      <c r="X395" t="s">
        <v>58</v>
      </c>
    </row>
    <row r="396" customHeight="1" spans="1:24">
      <c r="A396" t="s">
        <v>459</v>
      </c>
      <c r="B396">
        <v>24</v>
      </c>
      <c r="C396">
        <v>59</v>
      </c>
      <c r="D396" t="s">
        <v>72</v>
      </c>
      <c r="E396" t="s">
        <v>69</v>
      </c>
      <c r="F396" t="s">
        <v>58</v>
      </c>
      <c r="G396">
        <v>284</v>
      </c>
      <c r="H396">
        <v>12.8</v>
      </c>
      <c r="I396">
        <v>208</v>
      </c>
      <c r="J396">
        <v>997.3</v>
      </c>
      <c r="K396">
        <v>0</v>
      </c>
      <c r="L396" t="s">
        <v>62</v>
      </c>
      <c r="M396">
        <v>2</v>
      </c>
      <c r="N396">
        <v>3</v>
      </c>
      <c r="O396">
        <v>20</v>
      </c>
      <c r="P396">
        <v>2</v>
      </c>
      <c r="Q396">
        <v>2</v>
      </c>
      <c r="R396">
        <v>1</v>
      </c>
      <c r="S396" t="s">
        <v>63</v>
      </c>
      <c r="T396">
        <v>1</v>
      </c>
      <c r="U396">
        <v>0</v>
      </c>
      <c r="V396">
        <v>0</v>
      </c>
      <c r="W396">
        <v>0</v>
      </c>
      <c r="X396" t="s">
        <v>58</v>
      </c>
    </row>
    <row r="397" customHeight="1" spans="1:24">
      <c r="A397" t="s">
        <v>460</v>
      </c>
      <c r="B397">
        <v>64</v>
      </c>
      <c r="C397">
        <v>1</v>
      </c>
      <c r="D397" t="s">
        <v>53</v>
      </c>
      <c r="E397" t="s">
        <v>76</v>
      </c>
      <c r="F397" t="s">
        <v>58</v>
      </c>
      <c r="G397">
        <v>395</v>
      </c>
      <c r="H397">
        <v>31.83</v>
      </c>
      <c r="I397">
        <v>139</v>
      </c>
      <c r="J397">
        <v>533.74</v>
      </c>
      <c r="K397">
        <v>0</v>
      </c>
      <c r="L397" t="s">
        <v>62</v>
      </c>
      <c r="M397">
        <v>0</v>
      </c>
      <c r="N397">
        <v>0</v>
      </c>
      <c r="O397">
        <v>2.5</v>
      </c>
      <c r="P397">
        <v>3</v>
      </c>
      <c r="Q397">
        <v>1</v>
      </c>
      <c r="R397">
        <v>0</v>
      </c>
      <c r="S397" t="s">
        <v>66</v>
      </c>
      <c r="T397">
        <v>0</v>
      </c>
      <c r="U397">
        <v>0</v>
      </c>
      <c r="V397">
        <v>0</v>
      </c>
      <c r="W397">
        <v>0</v>
      </c>
      <c r="X397" t="s">
        <v>58</v>
      </c>
    </row>
    <row r="398" customHeight="1" spans="1:24">
      <c r="A398" t="s">
        <v>461</v>
      </c>
      <c r="B398">
        <v>58</v>
      </c>
      <c r="C398">
        <v>5</v>
      </c>
      <c r="D398" t="s">
        <v>53</v>
      </c>
      <c r="E398" t="s">
        <v>54</v>
      </c>
      <c r="F398" t="s">
        <v>58</v>
      </c>
      <c r="G398">
        <v>186</v>
      </c>
      <c r="H398">
        <v>16.96</v>
      </c>
      <c r="I398">
        <v>104</v>
      </c>
      <c r="J398">
        <v>455.28</v>
      </c>
      <c r="K398">
        <v>0</v>
      </c>
      <c r="L398" t="s">
        <v>62</v>
      </c>
      <c r="M398">
        <v>0</v>
      </c>
      <c r="N398">
        <v>0</v>
      </c>
      <c r="O398">
        <v>21.1</v>
      </c>
      <c r="P398">
        <v>1</v>
      </c>
      <c r="Q398">
        <v>1</v>
      </c>
      <c r="R398">
        <v>0</v>
      </c>
      <c r="S398" t="s">
        <v>66</v>
      </c>
      <c r="T398">
        <v>0</v>
      </c>
      <c r="U398">
        <v>0</v>
      </c>
      <c r="V398">
        <v>0</v>
      </c>
      <c r="W398">
        <v>0</v>
      </c>
      <c r="X398" t="s">
        <v>58</v>
      </c>
    </row>
    <row r="399" customHeight="1" spans="1:24">
      <c r="A399" t="s">
        <v>462</v>
      </c>
      <c r="B399">
        <v>59</v>
      </c>
      <c r="C399">
        <v>37</v>
      </c>
      <c r="D399" t="s">
        <v>72</v>
      </c>
      <c r="E399" t="s">
        <v>69</v>
      </c>
      <c r="F399" t="s">
        <v>55</v>
      </c>
      <c r="G399">
        <v>313</v>
      </c>
      <c r="H399">
        <v>35.74</v>
      </c>
      <c r="I399">
        <v>121</v>
      </c>
      <c r="J399">
        <v>1178.12</v>
      </c>
      <c r="K399">
        <v>3</v>
      </c>
      <c r="L399" t="s">
        <v>56</v>
      </c>
      <c r="M399">
        <v>1</v>
      </c>
      <c r="N399">
        <v>2</v>
      </c>
      <c r="O399">
        <v>20.9</v>
      </c>
      <c r="P399">
        <v>2</v>
      </c>
      <c r="Q399">
        <v>0</v>
      </c>
      <c r="R399">
        <v>0</v>
      </c>
      <c r="S399" t="s">
        <v>63</v>
      </c>
      <c r="T399">
        <v>1</v>
      </c>
      <c r="U399">
        <v>1</v>
      </c>
      <c r="V399">
        <v>0</v>
      </c>
      <c r="W399">
        <v>1</v>
      </c>
      <c r="X399" t="s">
        <v>55</v>
      </c>
    </row>
    <row r="400" customHeight="1" spans="1:24">
      <c r="A400" t="s">
        <v>463</v>
      </c>
      <c r="B400">
        <v>46</v>
      </c>
      <c r="C400">
        <v>37</v>
      </c>
      <c r="D400" t="s">
        <v>53</v>
      </c>
      <c r="E400" t="s">
        <v>76</v>
      </c>
      <c r="F400" t="s">
        <v>58</v>
      </c>
      <c r="G400">
        <v>358</v>
      </c>
      <c r="H400">
        <v>10.1</v>
      </c>
      <c r="I400">
        <v>0</v>
      </c>
      <c r="J400">
        <v>526.72</v>
      </c>
      <c r="K400">
        <v>0</v>
      </c>
      <c r="L400" t="s">
        <v>62</v>
      </c>
      <c r="M400">
        <v>0</v>
      </c>
      <c r="N400">
        <v>1</v>
      </c>
      <c r="O400">
        <v>4.9</v>
      </c>
      <c r="P400">
        <v>2</v>
      </c>
      <c r="Q400">
        <v>0</v>
      </c>
      <c r="R400">
        <v>1</v>
      </c>
      <c r="S400" t="s">
        <v>63</v>
      </c>
      <c r="T400">
        <v>0</v>
      </c>
      <c r="U400">
        <v>0</v>
      </c>
      <c r="V400">
        <v>0</v>
      </c>
      <c r="W400">
        <v>0</v>
      </c>
      <c r="X400" t="s">
        <v>58</v>
      </c>
    </row>
    <row r="401" customHeight="1" spans="1:24">
      <c r="A401" t="s">
        <v>464</v>
      </c>
      <c r="B401">
        <v>24</v>
      </c>
      <c r="C401">
        <v>22</v>
      </c>
      <c r="D401" t="s">
        <v>60</v>
      </c>
      <c r="E401" t="s">
        <v>54</v>
      </c>
      <c r="F401" t="s">
        <v>58</v>
      </c>
      <c r="G401">
        <v>398</v>
      </c>
      <c r="H401">
        <v>25.43</v>
      </c>
      <c r="I401">
        <v>107</v>
      </c>
      <c r="J401">
        <v>779.6</v>
      </c>
      <c r="K401">
        <v>1</v>
      </c>
      <c r="L401" t="s">
        <v>56</v>
      </c>
      <c r="M401">
        <v>1</v>
      </c>
      <c r="N401">
        <v>1</v>
      </c>
      <c r="O401">
        <v>23.1</v>
      </c>
      <c r="P401">
        <v>1</v>
      </c>
      <c r="Q401">
        <v>0</v>
      </c>
      <c r="R401">
        <v>1</v>
      </c>
      <c r="S401" t="s">
        <v>57</v>
      </c>
      <c r="T401">
        <v>1</v>
      </c>
      <c r="U401">
        <v>1</v>
      </c>
      <c r="V401">
        <v>0</v>
      </c>
      <c r="W401">
        <v>0</v>
      </c>
      <c r="X401" t="s">
        <v>58</v>
      </c>
    </row>
    <row r="402" customHeight="1" spans="1:24">
      <c r="A402" t="s">
        <v>465</v>
      </c>
      <c r="B402">
        <v>66</v>
      </c>
      <c r="C402">
        <v>19</v>
      </c>
      <c r="D402" t="s">
        <v>72</v>
      </c>
      <c r="E402" t="s">
        <v>61</v>
      </c>
      <c r="F402" t="s">
        <v>58</v>
      </c>
      <c r="G402">
        <v>472</v>
      </c>
      <c r="H402">
        <v>17.4</v>
      </c>
      <c r="I402">
        <v>67</v>
      </c>
      <c r="J402">
        <v>979.13</v>
      </c>
      <c r="K402">
        <v>0</v>
      </c>
      <c r="L402" t="s">
        <v>62</v>
      </c>
      <c r="M402">
        <v>1</v>
      </c>
      <c r="N402">
        <v>2</v>
      </c>
      <c r="O402">
        <v>1</v>
      </c>
      <c r="P402">
        <v>2</v>
      </c>
      <c r="Q402">
        <v>1</v>
      </c>
      <c r="R402">
        <v>1</v>
      </c>
      <c r="S402" t="s">
        <v>57</v>
      </c>
      <c r="T402">
        <v>1</v>
      </c>
      <c r="U402">
        <v>0</v>
      </c>
      <c r="V402">
        <v>0</v>
      </c>
      <c r="W402">
        <v>0</v>
      </c>
      <c r="X402" t="s">
        <v>58</v>
      </c>
    </row>
    <row r="403" customHeight="1" spans="1:24">
      <c r="A403" t="s">
        <v>466</v>
      </c>
      <c r="B403">
        <v>24</v>
      </c>
      <c r="C403">
        <v>6</v>
      </c>
      <c r="D403" t="s">
        <v>60</v>
      </c>
      <c r="E403" t="s">
        <v>76</v>
      </c>
      <c r="F403" t="s">
        <v>55</v>
      </c>
      <c r="G403">
        <v>616</v>
      </c>
      <c r="H403">
        <v>14.72</v>
      </c>
      <c r="I403">
        <v>184</v>
      </c>
      <c r="J403">
        <v>758.6</v>
      </c>
      <c r="K403">
        <v>1</v>
      </c>
      <c r="L403" t="s">
        <v>56</v>
      </c>
      <c r="M403">
        <v>0</v>
      </c>
      <c r="N403">
        <v>1</v>
      </c>
      <c r="O403">
        <v>19.8</v>
      </c>
      <c r="P403">
        <v>1</v>
      </c>
      <c r="Q403">
        <v>1</v>
      </c>
      <c r="R403">
        <v>0</v>
      </c>
      <c r="S403" t="s">
        <v>66</v>
      </c>
      <c r="T403">
        <v>0</v>
      </c>
      <c r="U403">
        <v>1</v>
      </c>
      <c r="V403">
        <v>0</v>
      </c>
      <c r="W403">
        <v>1</v>
      </c>
      <c r="X403" t="s">
        <v>55</v>
      </c>
    </row>
    <row r="404" customHeight="1" spans="1:24">
      <c r="A404" t="s">
        <v>467</v>
      </c>
      <c r="B404">
        <v>45</v>
      </c>
      <c r="C404">
        <v>48</v>
      </c>
      <c r="D404" t="s">
        <v>60</v>
      </c>
      <c r="E404" t="s">
        <v>61</v>
      </c>
      <c r="F404" t="s">
        <v>58</v>
      </c>
      <c r="G404">
        <v>510</v>
      </c>
      <c r="H404">
        <v>24.32</v>
      </c>
      <c r="I404">
        <v>190</v>
      </c>
      <c r="J404">
        <v>516.58</v>
      </c>
      <c r="K404">
        <v>3</v>
      </c>
      <c r="L404" t="s">
        <v>56</v>
      </c>
      <c r="M404">
        <v>1</v>
      </c>
      <c r="N404">
        <v>2</v>
      </c>
      <c r="O404">
        <v>26.9</v>
      </c>
      <c r="P404">
        <v>0</v>
      </c>
      <c r="Q404">
        <v>0</v>
      </c>
      <c r="R404">
        <v>2</v>
      </c>
      <c r="S404" t="s">
        <v>63</v>
      </c>
      <c r="T404">
        <v>1</v>
      </c>
      <c r="U404">
        <v>1</v>
      </c>
      <c r="V404">
        <v>0</v>
      </c>
      <c r="W404">
        <v>0</v>
      </c>
      <c r="X404" t="s">
        <v>58</v>
      </c>
    </row>
    <row r="405" customHeight="1" spans="1:24">
      <c r="A405" t="s">
        <v>468</v>
      </c>
      <c r="B405">
        <v>28</v>
      </c>
      <c r="C405">
        <v>28</v>
      </c>
      <c r="D405" t="s">
        <v>60</v>
      </c>
      <c r="E405" t="s">
        <v>61</v>
      </c>
      <c r="F405" t="s">
        <v>58</v>
      </c>
      <c r="G405">
        <v>544</v>
      </c>
      <c r="H405">
        <v>15.01</v>
      </c>
      <c r="I405">
        <v>160</v>
      </c>
      <c r="J405">
        <v>740.6</v>
      </c>
      <c r="K405">
        <v>0</v>
      </c>
      <c r="L405" t="s">
        <v>62</v>
      </c>
      <c r="M405">
        <v>0</v>
      </c>
      <c r="N405">
        <v>1</v>
      </c>
      <c r="O405">
        <v>25.2</v>
      </c>
      <c r="P405">
        <v>1</v>
      </c>
      <c r="Q405">
        <v>1</v>
      </c>
      <c r="R405">
        <v>0</v>
      </c>
      <c r="S405" t="s">
        <v>63</v>
      </c>
      <c r="T405">
        <v>0</v>
      </c>
      <c r="U405">
        <v>0</v>
      </c>
      <c r="V405">
        <v>0</v>
      </c>
      <c r="W405">
        <v>0</v>
      </c>
      <c r="X405" t="s">
        <v>58</v>
      </c>
    </row>
    <row r="406" customHeight="1" spans="1:24">
      <c r="A406" t="s">
        <v>469</v>
      </c>
      <c r="B406">
        <v>67</v>
      </c>
      <c r="C406">
        <v>9</v>
      </c>
      <c r="D406" t="s">
        <v>53</v>
      </c>
      <c r="E406" t="s">
        <v>65</v>
      </c>
      <c r="F406" t="s">
        <v>55</v>
      </c>
      <c r="G406">
        <v>617</v>
      </c>
      <c r="H406">
        <v>0.5</v>
      </c>
      <c r="I406">
        <v>148</v>
      </c>
      <c r="J406">
        <v>406.54</v>
      </c>
      <c r="K406">
        <v>0</v>
      </c>
      <c r="L406" t="s">
        <v>62</v>
      </c>
      <c r="M406">
        <v>3</v>
      </c>
      <c r="N406">
        <v>3</v>
      </c>
      <c r="O406">
        <v>19.1</v>
      </c>
      <c r="P406">
        <v>2</v>
      </c>
      <c r="Q406">
        <v>1</v>
      </c>
      <c r="R406">
        <v>0</v>
      </c>
      <c r="S406" t="s">
        <v>57</v>
      </c>
      <c r="T406">
        <v>1</v>
      </c>
      <c r="U406">
        <v>0</v>
      </c>
      <c r="V406">
        <v>1</v>
      </c>
      <c r="W406">
        <v>1</v>
      </c>
      <c r="X406" t="s">
        <v>58</v>
      </c>
    </row>
    <row r="407" customHeight="1" spans="1:24">
      <c r="A407" t="s">
        <v>470</v>
      </c>
      <c r="B407">
        <v>51</v>
      </c>
      <c r="C407">
        <v>29</v>
      </c>
      <c r="D407" t="s">
        <v>72</v>
      </c>
      <c r="E407" t="s">
        <v>54</v>
      </c>
      <c r="F407" t="s">
        <v>55</v>
      </c>
      <c r="G407">
        <v>485</v>
      </c>
      <c r="H407">
        <v>0.5</v>
      </c>
      <c r="I407">
        <v>15</v>
      </c>
      <c r="J407">
        <v>1039.37</v>
      </c>
      <c r="K407">
        <v>1</v>
      </c>
      <c r="L407" t="s">
        <v>56</v>
      </c>
      <c r="M407">
        <v>0</v>
      </c>
      <c r="N407">
        <v>0</v>
      </c>
      <c r="O407">
        <v>23</v>
      </c>
      <c r="P407">
        <v>2</v>
      </c>
      <c r="Q407">
        <v>0</v>
      </c>
      <c r="R407">
        <v>1</v>
      </c>
      <c r="S407" t="s">
        <v>63</v>
      </c>
      <c r="T407">
        <v>0</v>
      </c>
      <c r="U407">
        <v>1</v>
      </c>
      <c r="V407">
        <v>1</v>
      </c>
      <c r="W407">
        <v>1</v>
      </c>
      <c r="X407" t="s">
        <v>58</v>
      </c>
    </row>
    <row r="408" customHeight="1" spans="1:24">
      <c r="A408" t="s">
        <v>471</v>
      </c>
      <c r="B408">
        <v>47</v>
      </c>
      <c r="C408">
        <v>68</v>
      </c>
      <c r="D408" t="s">
        <v>53</v>
      </c>
      <c r="E408" t="s">
        <v>69</v>
      </c>
      <c r="F408" t="s">
        <v>58</v>
      </c>
      <c r="G408">
        <v>394</v>
      </c>
      <c r="H408">
        <v>30.72</v>
      </c>
      <c r="I408">
        <v>161</v>
      </c>
      <c r="J408">
        <v>518.32</v>
      </c>
      <c r="K408">
        <v>1</v>
      </c>
      <c r="L408" t="s">
        <v>56</v>
      </c>
      <c r="M408">
        <v>0</v>
      </c>
      <c r="N408">
        <v>1</v>
      </c>
      <c r="O408">
        <v>14.6</v>
      </c>
      <c r="P408">
        <v>2</v>
      </c>
      <c r="Q408">
        <v>0</v>
      </c>
      <c r="R408">
        <v>1</v>
      </c>
      <c r="S408" t="s">
        <v>63</v>
      </c>
      <c r="T408">
        <v>0</v>
      </c>
      <c r="U408">
        <v>1</v>
      </c>
      <c r="V408">
        <v>0</v>
      </c>
      <c r="W408">
        <v>0</v>
      </c>
      <c r="X408" t="s">
        <v>58</v>
      </c>
    </row>
    <row r="409" customHeight="1" spans="1:24">
      <c r="A409" t="s">
        <v>472</v>
      </c>
      <c r="B409">
        <v>36</v>
      </c>
      <c r="C409">
        <v>19</v>
      </c>
      <c r="D409" t="s">
        <v>53</v>
      </c>
      <c r="E409" t="s">
        <v>65</v>
      </c>
      <c r="F409" t="s">
        <v>55</v>
      </c>
      <c r="G409">
        <v>551</v>
      </c>
      <c r="H409">
        <v>30.3</v>
      </c>
      <c r="I409">
        <v>164</v>
      </c>
      <c r="J409">
        <v>439.14</v>
      </c>
      <c r="K409">
        <v>0</v>
      </c>
      <c r="L409" t="s">
        <v>62</v>
      </c>
      <c r="M409">
        <v>2</v>
      </c>
      <c r="N409">
        <v>2</v>
      </c>
      <c r="O409">
        <v>24.1</v>
      </c>
      <c r="P409">
        <v>0</v>
      </c>
      <c r="Q409">
        <v>1</v>
      </c>
      <c r="R409">
        <v>1</v>
      </c>
      <c r="S409" t="s">
        <v>57</v>
      </c>
      <c r="T409">
        <v>1</v>
      </c>
      <c r="U409">
        <v>0</v>
      </c>
      <c r="V409">
        <v>0</v>
      </c>
      <c r="W409">
        <v>1</v>
      </c>
      <c r="X409" t="s">
        <v>55</v>
      </c>
    </row>
    <row r="410" customHeight="1" spans="1:24">
      <c r="A410" t="s">
        <v>473</v>
      </c>
      <c r="B410">
        <v>63</v>
      </c>
      <c r="C410">
        <v>65</v>
      </c>
      <c r="D410" t="s">
        <v>53</v>
      </c>
      <c r="E410" t="s">
        <v>65</v>
      </c>
      <c r="F410" t="s">
        <v>58</v>
      </c>
      <c r="G410">
        <v>561</v>
      </c>
      <c r="H410">
        <v>36.87</v>
      </c>
      <c r="I410">
        <v>207</v>
      </c>
      <c r="J410">
        <v>550.16</v>
      </c>
      <c r="K410">
        <v>0</v>
      </c>
      <c r="L410" t="s">
        <v>62</v>
      </c>
      <c r="M410">
        <v>1</v>
      </c>
      <c r="N410">
        <v>1</v>
      </c>
      <c r="O410">
        <v>24.7</v>
      </c>
      <c r="P410">
        <v>1</v>
      </c>
      <c r="Q410">
        <v>1</v>
      </c>
      <c r="R410">
        <v>0</v>
      </c>
      <c r="S410" t="s">
        <v>63</v>
      </c>
      <c r="T410">
        <v>1</v>
      </c>
      <c r="U410">
        <v>0</v>
      </c>
      <c r="V410">
        <v>0</v>
      </c>
      <c r="W410">
        <v>0</v>
      </c>
      <c r="X410" t="s">
        <v>58</v>
      </c>
    </row>
    <row r="411" customHeight="1" spans="1:24">
      <c r="A411" t="s">
        <v>474</v>
      </c>
      <c r="B411">
        <v>30</v>
      </c>
      <c r="C411">
        <v>19</v>
      </c>
      <c r="D411" t="s">
        <v>72</v>
      </c>
      <c r="E411" t="s">
        <v>61</v>
      </c>
      <c r="F411" t="s">
        <v>58</v>
      </c>
      <c r="G411">
        <v>497</v>
      </c>
      <c r="H411">
        <v>17.82</v>
      </c>
      <c r="I411">
        <v>268</v>
      </c>
      <c r="J411">
        <v>1455.57</v>
      </c>
      <c r="K411">
        <v>1</v>
      </c>
      <c r="L411" t="s">
        <v>56</v>
      </c>
      <c r="M411">
        <v>1</v>
      </c>
      <c r="N411">
        <v>1</v>
      </c>
      <c r="O411">
        <v>13.2</v>
      </c>
      <c r="P411">
        <v>2</v>
      </c>
      <c r="Q411">
        <v>0</v>
      </c>
      <c r="R411">
        <v>1</v>
      </c>
      <c r="S411" t="s">
        <v>57</v>
      </c>
      <c r="T411">
        <v>1</v>
      </c>
      <c r="U411">
        <v>1</v>
      </c>
      <c r="V411">
        <v>0</v>
      </c>
      <c r="W411">
        <v>0</v>
      </c>
      <c r="X411" t="s">
        <v>58</v>
      </c>
    </row>
    <row r="412" customHeight="1" spans="1:24">
      <c r="A412" t="s">
        <v>475</v>
      </c>
      <c r="B412">
        <v>59</v>
      </c>
      <c r="C412">
        <v>14</v>
      </c>
      <c r="D412" t="s">
        <v>53</v>
      </c>
      <c r="E412" t="s">
        <v>54</v>
      </c>
      <c r="F412" t="s">
        <v>58</v>
      </c>
      <c r="G412">
        <v>182</v>
      </c>
      <c r="H412">
        <v>5.07</v>
      </c>
      <c r="I412">
        <v>2</v>
      </c>
      <c r="J412">
        <v>467.04</v>
      </c>
      <c r="K412">
        <v>1</v>
      </c>
      <c r="L412" t="s">
        <v>56</v>
      </c>
      <c r="M412">
        <v>0</v>
      </c>
      <c r="N412">
        <v>0</v>
      </c>
      <c r="O412">
        <v>27.2</v>
      </c>
      <c r="P412">
        <v>2</v>
      </c>
      <c r="Q412">
        <v>0</v>
      </c>
      <c r="R412">
        <v>1</v>
      </c>
      <c r="S412" t="s">
        <v>57</v>
      </c>
      <c r="T412">
        <v>0</v>
      </c>
      <c r="U412">
        <v>1</v>
      </c>
      <c r="V412">
        <v>0</v>
      </c>
      <c r="W412">
        <v>0</v>
      </c>
      <c r="X412" t="s">
        <v>58</v>
      </c>
    </row>
    <row r="413" customHeight="1" spans="1:24">
      <c r="A413" t="s">
        <v>476</v>
      </c>
      <c r="B413">
        <v>74</v>
      </c>
      <c r="C413">
        <v>19</v>
      </c>
      <c r="D413" t="s">
        <v>72</v>
      </c>
      <c r="E413" t="s">
        <v>69</v>
      </c>
      <c r="F413" t="s">
        <v>55</v>
      </c>
      <c r="G413">
        <v>274</v>
      </c>
      <c r="H413">
        <v>13.8</v>
      </c>
      <c r="I413">
        <v>93</v>
      </c>
      <c r="J413">
        <v>1114.8</v>
      </c>
      <c r="K413">
        <v>0</v>
      </c>
      <c r="L413" t="s">
        <v>62</v>
      </c>
      <c r="M413">
        <v>2</v>
      </c>
      <c r="N413">
        <v>3</v>
      </c>
      <c r="O413">
        <v>27.1</v>
      </c>
      <c r="P413">
        <v>2</v>
      </c>
      <c r="Q413">
        <v>0</v>
      </c>
      <c r="R413">
        <v>0</v>
      </c>
      <c r="S413" t="s">
        <v>57</v>
      </c>
      <c r="T413">
        <v>1</v>
      </c>
      <c r="U413">
        <v>0</v>
      </c>
      <c r="V413">
        <v>0</v>
      </c>
      <c r="W413">
        <v>1</v>
      </c>
      <c r="X413" t="s">
        <v>55</v>
      </c>
    </row>
    <row r="414" customHeight="1" spans="1:24">
      <c r="A414" t="s">
        <v>477</v>
      </c>
      <c r="B414">
        <v>33</v>
      </c>
      <c r="C414">
        <v>24</v>
      </c>
      <c r="D414" t="s">
        <v>60</v>
      </c>
      <c r="E414" t="s">
        <v>65</v>
      </c>
      <c r="F414" t="s">
        <v>58</v>
      </c>
      <c r="G414">
        <v>359</v>
      </c>
      <c r="H414">
        <v>18.11</v>
      </c>
      <c r="I414">
        <v>68</v>
      </c>
      <c r="J414">
        <v>562.78</v>
      </c>
      <c r="K414">
        <v>0</v>
      </c>
      <c r="L414" t="s">
        <v>62</v>
      </c>
      <c r="M414">
        <v>0</v>
      </c>
      <c r="N414">
        <v>0</v>
      </c>
      <c r="O414">
        <v>22</v>
      </c>
      <c r="P414">
        <v>2</v>
      </c>
      <c r="Q414">
        <v>1</v>
      </c>
      <c r="R414">
        <v>1</v>
      </c>
      <c r="S414" t="s">
        <v>57</v>
      </c>
      <c r="T414">
        <v>0</v>
      </c>
      <c r="U414">
        <v>0</v>
      </c>
      <c r="V414">
        <v>0</v>
      </c>
      <c r="W414">
        <v>0</v>
      </c>
      <c r="X414" t="s">
        <v>58</v>
      </c>
    </row>
    <row r="415" customHeight="1" spans="1:24">
      <c r="A415" t="s">
        <v>478</v>
      </c>
      <c r="B415">
        <v>57</v>
      </c>
      <c r="C415">
        <v>9</v>
      </c>
      <c r="D415" t="s">
        <v>72</v>
      </c>
      <c r="E415" t="s">
        <v>54</v>
      </c>
      <c r="F415" t="s">
        <v>55</v>
      </c>
      <c r="G415">
        <v>517</v>
      </c>
      <c r="H415">
        <v>7.93</v>
      </c>
      <c r="I415">
        <v>132</v>
      </c>
      <c r="J415">
        <v>930.12</v>
      </c>
      <c r="K415">
        <v>0</v>
      </c>
      <c r="L415" t="s">
        <v>62</v>
      </c>
      <c r="M415">
        <v>1</v>
      </c>
      <c r="N415">
        <v>1</v>
      </c>
      <c r="O415">
        <v>53.1</v>
      </c>
      <c r="P415">
        <v>2</v>
      </c>
      <c r="Q415">
        <v>0</v>
      </c>
      <c r="R415">
        <v>0</v>
      </c>
      <c r="S415" t="s">
        <v>57</v>
      </c>
      <c r="T415">
        <v>1</v>
      </c>
      <c r="U415">
        <v>0</v>
      </c>
      <c r="V415">
        <v>0</v>
      </c>
      <c r="W415">
        <v>1</v>
      </c>
      <c r="X415" t="s">
        <v>55</v>
      </c>
    </row>
    <row r="416" customHeight="1" spans="1:24">
      <c r="A416" t="s">
        <v>479</v>
      </c>
      <c r="B416">
        <v>35</v>
      </c>
      <c r="C416">
        <v>43</v>
      </c>
      <c r="D416" t="s">
        <v>72</v>
      </c>
      <c r="E416" t="s">
        <v>54</v>
      </c>
      <c r="F416" t="s">
        <v>55</v>
      </c>
      <c r="G416">
        <v>397</v>
      </c>
      <c r="H416">
        <v>34.49</v>
      </c>
      <c r="I416">
        <v>121</v>
      </c>
      <c r="J416">
        <v>1053.44</v>
      </c>
      <c r="K416">
        <v>0</v>
      </c>
      <c r="L416" t="s">
        <v>62</v>
      </c>
      <c r="M416">
        <v>1</v>
      </c>
      <c r="N416">
        <v>1</v>
      </c>
      <c r="O416">
        <v>22.3</v>
      </c>
      <c r="P416">
        <v>1</v>
      </c>
      <c r="Q416">
        <v>0</v>
      </c>
      <c r="R416">
        <v>0</v>
      </c>
      <c r="S416" t="s">
        <v>63</v>
      </c>
      <c r="T416">
        <v>1</v>
      </c>
      <c r="U416">
        <v>0</v>
      </c>
      <c r="V416">
        <v>0</v>
      </c>
      <c r="W416">
        <v>1</v>
      </c>
      <c r="X416" t="s">
        <v>55</v>
      </c>
    </row>
    <row r="417" customHeight="1" spans="1:24">
      <c r="A417" t="s">
        <v>480</v>
      </c>
      <c r="B417">
        <v>71</v>
      </c>
      <c r="C417">
        <v>25</v>
      </c>
      <c r="D417" t="s">
        <v>72</v>
      </c>
      <c r="E417" t="s">
        <v>69</v>
      </c>
      <c r="F417" t="s">
        <v>58</v>
      </c>
      <c r="G417">
        <v>571</v>
      </c>
      <c r="H417">
        <v>17.41</v>
      </c>
      <c r="I417">
        <v>104</v>
      </c>
      <c r="J417">
        <v>1070.64</v>
      </c>
      <c r="K417">
        <v>0</v>
      </c>
      <c r="L417" t="s">
        <v>62</v>
      </c>
      <c r="M417">
        <v>0</v>
      </c>
      <c r="N417">
        <v>1</v>
      </c>
      <c r="O417">
        <v>20.6</v>
      </c>
      <c r="P417">
        <v>0</v>
      </c>
      <c r="Q417">
        <v>0</v>
      </c>
      <c r="R417">
        <v>0</v>
      </c>
      <c r="S417" t="s">
        <v>63</v>
      </c>
      <c r="T417">
        <v>0</v>
      </c>
      <c r="U417">
        <v>0</v>
      </c>
      <c r="V417">
        <v>1</v>
      </c>
      <c r="W417">
        <v>0</v>
      </c>
      <c r="X417" t="s">
        <v>58</v>
      </c>
    </row>
    <row r="418" customHeight="1" spans="1:24">
      <c r="A418" t="s">
        <v>481</v>
      </c>
      <c r="B418">
        <v>70</v>
      </c>
      <c r="C418">
        <v>52</v>
      </c>
      <c r="D418" t="s">
        <v>72</v>
      </c>
      <c r="E418" t="s">
        <v>65</v>
      </c>
      <c r="F418" t="s">
        <v>58</v>
      </c>
      <c r="G418">
        <v>597</v>
      </c>
      <c r="H418">
        <v>22.78</v>
      </c>
      <c r="I418">
        <v>192</v>
      </c>
      <c r="J418">
        <v>1116.51</v>
      </c>
      <c r="K418">
        <v>0</v>
      </c>
      <c r="L418" t="s">
        <v>62</v>
      </c>
      <c r="M418">
        <v>0</v>
      </c>
      <c r="N418">
        <v>2</v>
      </c>
      <c r="O418">
        <v>18.9</v>
      </c>
      <c r="P418">
        <v>0</v>
      </c>
      <c r="Q418">
        <v>1</v>
      </c>
      <c r="R418">
        <v>1</v>
      </c>
      <c r="S418" t="s">
        <v>63</v>
      </c>
      <c r="T418">
        <v>0</v>
      </c>
      <c r="U418">
        <v>0</v>
      </c>
      <c r="V418">
        <v>0</v>
      </c>
      <c r="W418">
        <v>0</v>
      </c>
      <c r="X418" t="s">
        <v>58</v>
      </c>
    </row>
    <row r="419" customHeight="1" spans="1:24">
      <c r="A419" t="s">
        <v>482</v>
      </c>
      <c r="B419">
        <v>36</v>
      </c>
      <c r="C419">
        <v>36</v>
      </c>
      <c r="D419" t="s">
        <v>53</v>
      </c>
      <c r="E419" t="s">
        <v>69</v>
      </c>
      <c r="F419" t="s">
        <v>58</v>
      </c>
      <c r="G419">
        <v>580</v>
      </c>
      <c r="H419">
        <v>17.89</v>
      </c>
      <c r="I419">
        <v>43</v>
      </c>
      <c r="J419">
        <v>347.2</v>
      </c>
      <c r="K419">
        <v>0</v>
      </c>
      <c r="L419" t="s">
        <v>62</v>
      </c>
      <c r="M419">
        <v>0</v>
      </c>
      <c r="N419">
        <v>0</v>
      </c>
      <c r="O419">
        <v>12.3</v>
      </c>
      <c r="P419">
        <v>1</v>
      </c>
      <c r="Q419">
        <v>0</v>
      </c>
      <c r="R419">
        <v>0</v>
      </c>
      <c r="S419" t="s">
        <v>63</v>
      </c>
      <c r="T419">
        <v>0</v>
      </c>
      <c r="U419">
        <v>0</v>
      </c>
      <c r="V419">
        <v>0</v>
      </c>
      <c r="W419">
        <v>0</v>
      </c>
      <c r="X419" t="s">
        <v>58</v>
      </c>
    </row>
    <row r="420" customHeight="1" spans="1:24">
      <c r="A420" t="s">
        <v>483</v>
      </c>
      <c r="B420">
        <v>31</v>
      </c>
      <c r="C420">
        <v>32</v>
      </c>
      <c r="D420" t="s">
        <v>72</v>
      </c>
      <c r="E420" t="s">
        <v>61</v>
      </c>
      <c r="F420" t="s">
        <v>58</v>
      </c>
      <c r="G420">
        <v>581</v>
      </c>
      <c r="H420">
        <v>5.05</v>
      </c>
      <c r="I420">
        <v>47</v>
      </c>
      <c r="J420">
        <v>1239.29</v>
      </c>
      <c r="K420">
        <v>0</v>
      </c>
      <c r="L420" t="s">
        <v>62</v>
      </c>
      <c r="M420">
        <v>1</v>
      </c>
      <c r="N420">
        <v>2</v>
      </c>
      <c r="O420">
        <v>32.2</v>
      </c>
      <c r="P420">
        <v>0</v>
      </c>
      <c r="Q420">
        <v>0</v>
      </c>
      <c r="R420">
        <v>0</v>
      </c>
      <c r="S420" t="s">
        <v>63</v>
      </c>
      <c r="T420">
        <v>1</v>
      </c>
      <c r="U420">
        <v>0</v>
      </c>
      <c r="V420">
        <v>0</v>
      </c>
      <c r="W420">
        <v>0</v>
      </c>
      <c r="X420" t="s">
        <v>58</v>
      </c>
    </row>
    <row r="421" customHeight="1" spans="1:24">
      <c r="A421" t="s">
        <v>484</v>
      </c>
      <c r="B421">
        <v>22</v>
      </c>
      <c r="C421">
        <v>34</v>
      </c>
      <c r="D421" t="s">
        <v>60</v>
      </c>
      <c r="E421" t="s">
        <v>69</v>
      </c>
      <c r="F421" t="s">
        <v>58</v>
      </c>
      <c r="G421">
        <v>244</v>
      </c>
      <c r="H421">
        <v>33.46</v>
      </c>
      <c r="I421">
        <v>48</v>
      </c>
      <c r="J421">
        <v>1643.8575</v>
      </c>
      <c r="K421">
        <v>1</v>
      </c>
      <c r="L421" t="s">
        <v>56</v>
      </c>
      <c r="M421">
        <v>1</v>
      </c>
      <c r="N421">
        <v>1</v>
      </c>
      <c r="O421">
        <v>15.8</v>
      </c>
      <c r="P421">
        <v>1</v>
      </c>
      <c r="Q421">
        <v>1</v>
      </c>
      <c r="R421">
        <v>1</v>
      </c>
      <c r="S421" t="s">
        <v>63</v>
      </c>
      <c r="T421">
        <v>1</v>
      </c>
      <c r="U421">
        <v>1</v>
      </c>
      <c r="V421">
        <v>0</v>
      </c>
      <c r="W421">
        <v>0</v>
      </c>
      <c r="X421" t="s">
        <v>58</v>
      </c>
    </row>
    <row r="422" customHeight="1" spans="1:24">
      <c r="A422" t="s">
        <v>485</v>
      </c>
      <c r="B422">
        <v>58</v>
      </c>
      <c r="C422">
        <v>12</v>
      </c>
      <c r="D422" t="s">
        <v>60</v>
      </c>
      <c r="E422" t="s">
        <v>54</v>
      </c>
      <c r="F422" t="s">
        <v>58</v>
      </c>
      <c r="G422">
        <v>472</v>
      </c>
      <c r="H422">
        <v>18.76</v>
      </c>
      <c r="I422">
        <v>95</v>
      </c>
      <c r="J422">
        <v>914.27</v>
      </c>
      <c r="K422">
        <v>0</v>
      </c>
      <c r="L422" t="s">
        <v>62</v>
      </c>
      <c r="M422">
        <v>1</v>
      </c>
      <c r="N422">
        <v>2</v>
      </c>
      <c r="O422">
        <v>17.2</v>
      </c>
      <c r="P422">
        <v>0</v>
      </c>
      <c r="Q422">
        <v>0</v>
      </c>
      <c r="R422">
        <v>1</v>
      </c>
      <c r="S422" t="s">
        <v>57</v>
      </c>
      <c r="T422">
        <v>1</v>
      </c>
      <c r="U422">
        <v>0</v>
      </c>
      <c r="V422">
        <v>0</v>
      </c>
      <c r="W422">
        <v>0</v>
      </c>
      <c r="X422" t="s">
        <v>58</v>
      </c>
    </row>
    <row r="423" customHeight="1" spans="1:24">
      <c r="A423" t="s">
        <v>486</v>
      </c>
      <c r="B423">
        <v>71</v>
      </c>
      <c r="C423">
        <v>52</v>
      </c>
      <c r="D423" t="s">
        <v>72</v>
      </c>
      <c r="E423" t="s">
        <v>69</v>
      </c>
      <c r="F423" t="s">
        <v>55</v>
      </c>
      <c r="G423">
        <v>309</v>
      </c>
      <c r="H423">
        <v>15.11</v>
      </c>
      <c r="I423">
        <v>34</v>
      </c>
      <c r="J423">
        <v>1019.44</v>
      </c>
      <c r="K423">
        <v>1</v>
      </c>
      <c r="L423" t="s">
        <v>56</v>
      </c>
      <c r="M423">
        <v>0</v>
      </c>
      <c r="N423">
        <v>0</v>
      </c>
      <c r="O423">
        <v>17.5</v>
      </c>
      <c r="P423">
        <v>0</v>
      </c>
      <c r="Q423">
        <v>0</v>
      </c>
      <c r="R423">
        <v>0</v>
      </c>
      <c r="S423" t="s">
        <v>63</v>
      </c>
      <c r="T423">
        <v>0</v>
      </c>
      <c r="U423">
        <v>1</v>
      </c>
      <c r="V423">
        <v>0</v>
      </c>
      <c r="W423">
        <v>1</v>
      </c>
      <c r="X423" t="s">
        <v>55</v>
      </c>
    </row>
    <row r="424" customHeight="1" spans="1:24">
      <c r="A424" t="s">
        <v>487</v>
      </c>
      <c r="B424">
        <v>26</v>
      </c>
      <c r="C424">
        <v>8</v>
      </c>
      <c r="D424" t="s">
        <v>72</v>
      </c>
      <c r="E424" t="s">
        <v>65</v>
      </c>
      <c r="F424" t="s">
        <v>55</v>
      </c>
      <c r="G424">
        <v>153</v>
      </c>
      <c r="H424">
        <v>22.81</v>
      </c>
      <c r="I424">
        <v>117</v>
      </c>
      <c r="J424">
        <v>1162.98</v>
      </c>
      <c r="K424">
        <v>1</v>
      </c>
      <c r="L424" t="s">
        <v>56</v>
      </c>
      <c r="M424">
        <v>2</v>
      </c>
      <c r="N424">
        <v>2</v>
      </c>
      <c r="O424">
        <v>12.2</v>
      </c>
      <c r="P424">
        <v>3</v>
      </c>
      <c r="Q424">
        <v>1</v>
      </c>
      <c r="R424">
        <v>0</v>
      </c>
      <c r="S424" t="s">
        <v>57</v>
      </c>
      <c r="T424">
        <v>1</v>
      </c>
      <c r="U424">
        <v>1</v>
      </c>
      <c r="V424">
        <v>0</v>
      </c>
      <c r="W424">
        <v>1</v>
      </c>
      <c r="X424" t="s">
        <v>55</v>
      </c>
    </row>
    <row r="425" customHeight="1" spans="1:24">
      <c r="A425" t="s">
        <v>488</v>
      </c>
      <c r="B425">
        <v>65</v>
      </c>
      <c r="C425">
        <v>52</v>
      </c>
      <c r="D425" t="s">
        <v>60</v>
      </c>
      <c r="E425" t="s">
        <v>54</v>
      </c>
      <c r="F425" t="s">
        <v>55</v>
      </c>
      <c r="G425">
        <v>357</v>
      </c>
      <c r="H425">
        <v>12.14</v>
      </c>
      <c r="I425">
        <v>108</v>
      </c>
      <c r="J425">
        <v>791.74</v>
      </c>
      <c r="K425">
        <v>0</v>
      </c>
      <c r="L425" t="s">
        <v>62</v>
      </c>
      <c r="M425">
        <v>0</v>
      </c>
      <c r="N425">
        <v>1</v>
      </c>
      <c r="O425">
        <v>3</v>
      </c>
      <c r="P425">
        <v>2</v>
      </c>
      <c r="Q425">
        <v>1</v>
      </c>
      <c r="R425">
        <v>1</v>
      </c>
      <c r="S425" t="s">
        <v>63</v>
      </c>
      <c r="T425">
        <v>0</v>
      </c>
      <c r="U425">
        <v>0</v>
      </c>
      <c r="V425">
        <v>0</v>
      </c>
      <c r="W425">
        <v>1</v>
      </c>
      <c r="X425" t="s">
        <v>55</v>
      </c>
    </row>
    <row r="426" customHeight="1" spans="1:24">
      <c r="A426" t="s">
        <v>489</v>
      </c>
      <c r="B426">
        <v>61</v>
      </c>
      <c r="C426">
        <v>72</v>
      </c>
      <c r="D426" t="s">
        <v>60</v>
      </c>
      <c r="E426" t="s">
        <v>69</v>
      </c>
      <c r="F426" t="s">
        <v>55</v>
      </c>
      <c r="G426">
        <v>599</v>
      </c>
      <c r="H426">
        <v>19.47</v>
      </c>
      <c r="I426">
        <v>65</v>
      </c>
      <c r="J426">
        <v>916.42</v>
      </c>
      <c r="K426">
        <v>1</v>
      </c>
      <c r="L426" t="s">
        <v>56</v>
      </c>
      <c r="M426">
        <v>1</v>
      </c>
      <c r="N426">
        <v>1</v>
      </c>
      <c r="O426">
        <v>18.4</v>
      </c>
      <c r="P426">
        <v>0</v>
      </c>
      <c r="Q426">
        <v>0</v>
      </c>
      <c r="R426">
        <v>0</v>
      </c>
      <c r="S426" t="s">
        <v>63</v>
      </c>
      <c r="T426">
        <v>1</v>
      </c>
      <c r="U426">
        <v>1</v>
      </c>
      <c r="V426">
        <v>0</v>
      </c>
      <c r="W426">
        <v>1</v>
      </c>
      <c r="X426" t="s">
        <v>55</v>
      </c>
    </row>
    <row r="427" customHeight="1" spans="1:24">
      <c r="A427" t="s">
        <v>490</v>
      </c>
      <c r="B427">
        <v>45</v>
      </c>
      <c r="C427">
        <v>56</v>
      </c>
      <c r="D427" t="s">
        <v>60</v>
      </c>
      <c r="E427" t="s">
        <v>69</v>
      </c>
      <c r="F427" t="s">
        <v>58</v>
      </c>
      <c r="G427">
        <v>469</v>
      </c>
      <c r="H427">
        <v>3.58</v>
      </c>
      <c r="I427">
        <v>181</v>
      </c>
      <c r="J427">
        <v>781.5</v>
      </c>
      <c r="K427">
        <v>0</v>
      </c>
      <c r="L427" t="s">
        <v>62</v>
      </c>
      <c r="M427">
        <v>0</v>
      </c>
      <c r="N427">
        <v>0</v>
      </c>
      <c r="O427">
        <v>34.5</v>
      </c>
      <c r="P427">
        <v>1</v>
      </c>
      <c r="Q427">
        <v>0</v>
      </c>
      <c r="R427">
        <v>0</v>
      </c>
      <c r="S427" t="s">
        <v>63</v>
      </c>
      <c r="T427">
        <v>0</v>
      </c>
      <c r="U427">
        <v>0</v>
      </c>
      <c r="V427">
        <v>1</v>
      </c>
      <c r="W427">
        <v>0</v>
      </c>
      <c r="X427" t="s">
        <v>58</v>
      </c>
    </row>
    <row r="428" customHeight="1" spans="1:24">
      <c r="A428" t="s">
        <v>491</v>
      </c>
      <c r="B428">
        <v>30</v>
      </c>
      <c r="C428">
        <v>33</v>
      </c>
      <c r="D428" t="s">
        <v>60</v>
      </c>
      <c r="E428" t="s">
        <v>69</v>
      </c>
      <c r="F428" t="s">
        <v>58</v>
      </c>
      <c r="G428">
        <v>703</v>
      </c>
      <c r="H428">
        <v>28.87</v>
      </c>
      <c r="I428">
        <v>116</v>
      </c>
      <c r="J428">
        <v>806.29</v>
      </c>
      <c r="K428">
        <v>1</v>
      </c>
      <c r="L428" t="s">
        <v>56</v>
      </c>
      <c r="M428">
        <v>0</v>
      </c>
      <c r="N428">
        <v>0</v>
      </c>
      <c r="O428">
        <v>26.4</v>
      </c>
      <c r="P428">
        <v>0</v>
      </c>
      <c r="Q428">
        <v>0</v>
      </c>
      <c r="R428">
        <v>1</v>
      </c>
      <c r="S428" t="s">
        <v>63</v>
      </c>
      <c r="T428">
        <v>0</v>
      </c>
      <c r="U428">
        <v>1</v>
      </c>
      <c r="V428">
        <v>0</v>
      </c>
      <c r="W428">
        <v>0</v>
      </c>
      <c r="X428" t="s">
        <v>58</v>
      </c>
    </row>
    <row r="429" customHeight="1" spans="1:24">
      <c r="A429" t="s">
        <v>492</v>
      </c>
      <c r="B429">
        <v>55</v>
      </c>
      <c r="C429">
        <v>23</v>
      </c>
      <c r="D429" t="s">
        <v>60</v>
      </c>
      <c r="E429" t="s">
        <v>76</v>
      </c>
      <c r="F429" t="s">
        <v>58</v>
      </c>
      <c r="G429">
        <v>427</v>
      </c>
      <c r="H429">
        <v>16.96</v>
      </c>
      <c r="I429">
        <v>194</v>
      </c>
      <c r="J429">
        <v>751.75</v>
      </c>
      <c r="K429">
        <v>1</v>
      </c>
      <c r="L429" t="s">
        <v>56</v>
      </c>
      <c r="M429">
        <v>0</v>
      </c>
      <c r="N429">
        <v>0</v>
      </c>
      <c r="O429">
        <v>23.7</v>
      </c>
      <c r="P429">
        <v>2</v>
      </c>
      <c r="Q429">
        <v>1</v>
      </c>
      <c r="R429">
        <v>0</v>
      </c>
      <c r="S429" t="s">
        <v>57</v>
      </c>
      <c r="T429">
        <v>0</v>
      </c>
      <c r="U429">
        <v>1</v>
      </c>
      <c r="V429">
        <v>0</v>
      </c>
      <c r="W429">
        <v>0</v>
      </c>
      <c r="X429" t="s">
        <v>58</v>
      </c>
    </row>
    <row r="430" customHeight="1" spans="1:24">
      <c r="A430" t="s">
        <v>493</v>
      </c>
      <c r="B430">
        <v>52</v>
      </c>
      <c r="C430">
        <v>63</v>
      </c>
      <c r="D430" t="s">
        <v>60</v>
      </c>
      <c r="E430" t="s">
        <v>54</v>
      </c>
      <c r="F430" t="s">
        <v>55</v>
      </c>
      <c r="G430">
        <v>767</v>
      </c>
      <c r="H430">
        <v>29.59</v>
      </c>
      <c r="I430">
        <v>106</v>
      </c>
      <c r="J430">
        <v>647.36</v>
      </c>
      <c r="K430">
        <v>0</v>
      </c>
      <c r="L430" t="s">
        <v>62</v>
      </c>
      <c r="M430">
        <v>0</v>
      </c>
      <c r="N430">
        <v>0</v>
      </c>
      <c r="O430">
        <v>23.7</v>
      </c>
      <c r="P430">
        <v>0</v>
      </c>
      <c r="Q430">
        <v>0</v>
      </c>
      <c r="R430">
        <v>2</v>
      </c>
      <c r="S430" t="s">
        <v>63</v>
      </c>
      <c r="T430">
        <v>0</v>
      </c>
      <c r="U430">
        <v>0</v>
      </c>
      <c r="V430">
        <v>0</v>
      </c>
      <c r="W430">
        <v>1</v>
      </c>
      <c r="X430" t="s">
        <v>55</v>
      </c>
    </row>
    <row r="431" customHeight="1" spans="1:24">
      <c r="A431" t="s">
        <v>494</v>
      </c>
      <c r="B431">
        <v>65</v>
      </c>
      <c r="C431">
        <v>19</v>
      </c>
      <c r="D431" t="s">
        <v>53</v>
      </c>
      <c r="E431" t="s">
        <v>61</v>
      </c>
      <c r="F431" t="s">
        <v>58</v>
      </c>
      <c r="G431">
        <v>427</v>
      </c>
      <c r="H431">
        <v>15.99</v>
      </c>
      <c r="I431">
        <v>118</v>
      </c>
      <c r="J431">
        <v>374.85</v>
      </c>
      <c r="K431">
        <v>1</v>
      </c>
      <c r="L431" t="s">
        <v>56</v>
      </c>
      <c r="M431">
        <v>1</v>
      </c>
      <c r="N431">
        <v>3</v>
      </c>
      <c r="O431">
        <v>30.3</v>
      </c>
      <c r="P431">
        <v>2</v>
      </c>
      <c r="Q431">
        <v>0</v>
      </c>
      <c r="R431">
        <v>1</v>
      </c>
      <c r="S431" t="s">
        <v>57</v>
      </c>
      <c r="T431">
        <v>1</v>
      </c>
      <c r="U431">
        <v>1</v>
      </c>
      <c r="V431">
        <v>0</v>
      </c>
      <c r="W431">
        <v>0</v>
      </c>
      <c r="X431" t="s">
        <v>58</v>
      </c>
    </row>
    <row r="432" customHeight="1" spans="1:24">
      <c r="A432" t="s">
        <v>495</v>
      </c>
      <c r="B432">
        <v>50</v>
      </c>
      <c r="C432">
        <v>35</v>
      </c>
      <c r="D432" t="s">
        <v>53</v>
      </c>
      <c r="E432" t="s">
        <v>54</v>
      </c>
      <c r="F432" t="s">
        <v>58</v>
      </c>
      <c r="G432">
        <v>403</v>
      </c>
      <c r="H432">
        <v>16.64</v>
      </c>
      <c r="I432">
        <v>81</v>
      </c>
      <c r="J432">
        <v>317.35</v>
      </c>
      <c r="K432">
        <v>3</v>
      </c>
      <c r="L432" t="s">
        <v>56</v>
      </c>
      <c r="M432">
        <v>0</v>
      </c>
      <c r="N432">
        <v>1</v>
      </c>
      <c r="O432">
        <v>46.6</v>
      </c>
      <c r="P432">
        <v>1</v>
      </c>
      <c r="Q432">
        <v>0</v>
      </c>
      <c r="R432">
        <v>0</v>
      </c>
      <c r="S432" t="s">
        <v>63</v>
      </c>
      <c r="T432">
        <v>0</v>
      </c>
      <c r="U432">
        <v>1</v>
      </c>
      <c r="V432">
        <v>0</v>
      </c>
      <c r="W432">
        <v>0</v>
      </c>
      <c r="X432" t="s">
        <v>58</v>
      </c>
    </row>
    <row r="433" customHeight="1" spans="1:24">
      <c r="A433" t="s">
        <v>496</v>
      </c>
      <c r="B433">
        <v>20</v>
      </c>
      <c r="C433">
        <v>56</v>
      </c>
      <c r="D433" t="s">
        <v>72</v>
      </c>
      <c r="E433" t="s">
        <v>69</v>
      </c>
      <c r="F433" t="s">
        <v>58</v>
      </c>
      <c r="G433">
        <v>208</v>
      </c>
      <c r="H433">
        <v>5.88</v>
      </c>
      <c r="I433">
        <v>120</v>
      </c>
      <c r="J433">
        <v>993.83</v>
      </c>
      <c r="K433">
        <v>2</v>
      </c>
      <c r="L433" t="s">
        <v>56</v>
      </c>
      <c r="M433">
        <v>0</v>
      </c>
      <c r="N433">
        <v>0</v>
      </c>
      <c r="O433">
        <v>23.7</v>
      </c>
      <c r="P433">
        <v>0</v>
      </c>
      <c r="Q433">
        <v>1</v>
      </c>
      <c r="R433">
        <v>0</v>
      </c>
      <c r="S433" t="s">
        <v>63</v>
      </c>
      <c r="T433">
        <v>0</v>
      </c>
      <c r="U433">
        <v>1</v>
      </c>
      <c r="V433">
        <v>0</v>
      </c>
      <c r="W433">
        <v>0</v>
      </c>
      <c r="X433" t="s">
        <v>58</v>
      </c>
    </row>
    <row r="434" customHeight="1" spans="1:24">
      <c r="A434" t="s">
        <v>497</v>
      </c>
      <c r="B434">
        <v>29</v>
      </c>
      <c r="C434">
        <v>67</v>
      </c>
      <c r="D434" t="s">
        <v>60</v>
      </c>
      <c r="E434" t="s">
        <v>54</v>
      </c>
      <c r="F434" t="s">
        <v>58</v>
      </c>
      <c r="G434">
        <v>567</v>
      </c>
      <c r="H434">
        <v>25.6</v>
      </c>
      <c r="I434">
        <v>170</v>
      </c>
      <c r="J434">
        <v>790.17</v>
      </c>
      <c r="K434">
        <v>0</v>
      </c>
      <c r="L434" t="s">
        <v>62</v>
      </c>
      <c r="M434">
        <v>0</v>
      </c>
      <c r="N434">
        <v>0</v>
      </c>
      <c r="O434">
        <v>24.8</v>
      </c>
      <c r="P434">
        <v>3</v>
      </c>
      <c r="Q434">
        <v>1</v>
      </c>
      <c r="R434">
        <v>1</v>
      </c>
      <c r="S434" t="s">
        <v>63</v>
      </c>
      <c r="T434">
        <v>0</v>
      </c>
      <c r="U434">
        <v>0</v>
      </c>
      <c r="V434">
        <v>0</v>
      </c>
      <c r="W434">
        <v>0</v>
      </c>
      <c r="X434" t="s">
        <v>58</v>
      </c>
    </row>
    <row r="435" customHeight="1" spans="1:24">
      <c r="A435" t="s">
        <v>498</v>
      </c>
      <c r="B435">
        <v>40</v>
      </c>
      <c r="C435">
        <v>67</v>
      </c>
      <c r="D435" t="s">
        <v>72</v>
      </c>
      <c r="E435" t="s">
        <v>65</v>
      </c>
      <c r="F435" t="s">
        <v>55</v>
      </c>
      <c r="G435">
        <v>325</v>
      </c>
      <c r="H435">
        <v>9.24</v>
      </c>
      <c r="I435">
        <v>91</v>
      </c>
      <c r="J435">
        <v>1290.55</v>
      </c>
      <c r="K435">
        <v>0</v>
      </c>
      <c r="L435" t="s">
        <v>62</v>
      </c>
      <c r="M435">
        <v>1</v>
      </c>
      <c r="N435">
        <v>1</v>
      </c>
      <c r="O435">
        <v>23.9</v>
      </c>
      <c r="P435">
        <v>2</v>
      </c>
      <c r="Q435">
        <v>0</v>
      </c>
      <c r="R435">
        <v>0</v>
      </c>
      <c r="S435" t="s">
        <v>63</v>
      </c>
      <c r="T435">
        <v>1</v>
      </c>
      <c r="U435">
        <v>0</v>
      </c>
      <c r="V435">
        <v>0</v>
      </c>
      <c r="W435">
        <v>1</v>
      </c>
      <c r="X435" t="s">
        <v>55</v>
      </c>
    </row>
    <row r="436" customHeight="1" spans="1:24">
      <c r="A436" t="s">
        <v>499</v>
      </c>
      <c r="B436">
        <v>46</v>
      </c>
      <c r="C436">
        <v>7</v>
      </c>
      <c r="D436" t="s">
        <v>60</v>
      </c>
      <c r="E436" t="s">
        <v>54</v>
      </c>
      <c r="F436" t="s">
        <v>58</v>
      </c>
      <c r="G436">
        <v>303</v>
      </c>
      <c r="H436">
        <v>13.14</v>
      </c>
      <c r="I436">
        <v>156</v>
      </c>
      <c r="J436">
        <v>781.96</v>
      </c>
      <c r="K436">
        <v>1</v>
      </c>
      <c r="L436" t="s">
        <v>56</v>
      </c>
      <c r="M436">
        <v>0</v>
      </c>
      <c r="N436">
        <v>0</v>
      </c>
      <c r="O436">
        <v>42.5</v>
      </c>
      <c r="P436">
        <v>0</v>
      </c>
      <c r="Q436">
        <v>0</v>
      </c>
      <c r="R436">
        <v>0</v>
      </c>
      <c r="S436" t="s">
        <v>57</v>
      </c>
      <c r="T436">
        <v>0</v>
      </c>
      <c r="U436">
        <v>1</v>
      </c>
      <c r="V436">
        <v>0</v>
      </c>
      <c r="W436">
        <v>0</v>
      </c>
      <c r="X436" t="s">
        <v>58</v>
      </c>
    </row>
    <row r="437" customHeight="1" spans="1:24">
      <c r="A437" t="s">
        <v>500</v>
      </c>
      <c r="B437">
        <v>38</v>
      </c>
      <c r="C437">
        <v>65</v>
      </c>
      <c r="D437" t="s">
        <v>53</v>
      </c>
      <c r="E437" t="s">
        <v>54</v>
      </c>
      <c r="F437" t="s">
        <v>58</v>
      </c>
      <c r="G437">
        <v>592</v>
      </c>
      <c r="H437">
        <v>18.01</v>
      </c>
      <c r="I437">
        <v>63</v>
      </c>
      <c r="J437">
        <v>391.81</v>
      </c>
      <c r="K437">
        <v>0</v>
      </c>
      <c r="L437" t="s">
        <v>62</v>
      </c>
      <c r="M437">
        <v>0</v>
      </c>
      <c r="N437">
        <v>1</v>
      </c>
      <c r="O437">
        <v>24</v>
      </c>
      <c r="P437">
        <v>2</v>
      </c>
      <c r="Q437">
        <v>1</v>
      </c>
      <c r="R437">
        <v>1</v>
      </c>
      <c r="S437" t="s">
        <v>63</v>
      </c>
      <c r="T437">
        <v>0</v>
      </c>
      <c r="U437">
        <v>0</v>
      </c>
      <c r="V437">
        <v>0</v>
      </c>
      <c r="W437">
        <v>0</v>
      </c>
      <c r="X437" t="s">
        <v>58</v>
      </c>
    </row>
    <row r="438" customHeight="1" spans="1:24">
      <c r="A438" t="s">
        <v>501</v>
      </c>
      <c r="B438">
        <v>68</v>
      </c>
      <c r="C438">
        <v>9</v>
      </c>
      <c r="D438" t="s">
        <v>53</v>
      </c>
      <c r="E438" t="s">
        <v>54</v>
      </c>
      <c r="F438" t="s">
        <v>55</v>
      </c>
      <c r="G438">
        <v>574</v>
      </c>
      <c r="H438">
        <v>19.21</v>
      </c>
      <c r="I438">
        <v>173</v>
      </c>
      <c r="J438">
        <v>477.75</v>
      </c>
      <c r="K438">
        <v>3</v>
      </c>
      <c r="L438" t="s">
        <v>56</v>
      </c>
      <c r="M438">
        <v>1</v>
      </c>
      <c r="N438">
        <v>1</v>
      </c>
      <c r="O438">
        <v>16.2</v>
      </c>
      <c r="P438">
        <v>0</v>
      </c>
      <c r="Q438">
        <v>0</v>
      </c>
      <c r="R438">
        <v>1</v>
      </c>
      <c r="S438" t="s">
        <v>57</v>
      </c>
      <c r="T438">
        <v>1</v>
      </c>
      <c r="U438">
        <v>1</v>
      </c>
      <c r="V438">
        <v>0</v>
      </c>
      <c r="W438">
        <v>1</v>
      </c>
      <c r="X438" t="s">
        <v>55</v>
      </c>
    </row>
    <row r="439" customHeight="1" spans="1:24">
      <c r="A439" t="s">
        <v>502</v>
      </c>
      <c r="B439">
        <v>34</v>
      </c>
      <c r="C439">
        <v>43</v>
      </c>
      <c r="D439" t="s">
        <v>53</v>
      </c>
      <c r="E439" t="s">
        <v>69</v>
      </c>
      <c r="F439" t="s">
        <v>58</v>
      </c>
      <c r="G439">
        <v>570</v>
      </c>
      <c r="H439">
        <v>0.94</v>
      </c>
      <c r="I439">
        <v>79</v>
      </c>
      <c r="J439">
        <v>471.39</v>
      </c>
      <c r="K439">
        <v>0</v>
      </c>
      <c r="L439" t="s">
        <v>62</v>
      </c>
      <c r="M439">
        <v>2</v>
      </c>
      <c r="N439">
        <v>3</v>
      </c>
      <c r="O439">
        <v>31.1</v>
      </c>
      <c r="P439">
        <v>1</v>
      </c>
      <c r="Q439">
        <v>1</v>
      </c>
      <c r="R439">
        <v>0</v>
      </c>
      <c r="S439" t="s">
        <v>63</v>
      </c>
      <c r="T439">
        <v>1</v>
      </c>
      <c r="U439">
        <v>0</v>
      </c>
      <c r="V439">
        <v>1</v>
      </c>
      <c r="W439">
        <v>0</v>
      </c>
      <c r="X439" t="s">
        <v>58</v>
      </c>
    </row>
    <row r="440" customHeight="1" spans="1:24">
      <c r="A440" t="s">
        <v>503</v>
      </c>
      <c r="B440">
        <v>57</v>
      </c>
      <c r="C440">
        <v>67</v>
      </c>
      <c r="D440" t="s">
        <v>72</v>
      </c>
      <c r="E440" t="s">
        <v>61</v>
      </c>
      <c r="F440" t="s">
        <v>58</v>
      </c>
      <c r="G440">
        <v>346</v>
      </c>
      <c r="H440">
        <v>15.69</v>
      </c>
      <c r="I440">
        <v>180</v>
      </c>
      <c r="J440">
        <v>1190.8</v>
      </c>
      <c r="K440">
        <v>0</v>
      </c>
      <c r="L440" t="s">
        <v>62</v>
      </c>
      <c r="M440">
        <v>0</v>
      </c>
      <c r="N440">
        <v>0</v>
      </c>
      <c r="O440">
        <v>14.2</v>
      </c>
      <c r="P440">
        <v>0</v>
      </c>
      <c r="Q440">
        <v>1</v>
      </c>
      <c r="R440">
        <v>0</v>
      </c>
      <c r="S440" t="s">
        <v>63</v>
      </c>
      <c r="T440">
        <v>0</v>
      </c>
      <c r="U440">
        <v>0</v>
      </c>
      <c r="V440">
        <v>0</v>
      </c>
      <c r="W440">
        <v>0</v>
      </c>
      <c r="X440" t="s">
        <v>58</v>
      </c>
    </row>
    <row r="441" customHeight="1" spans="1:24">
      <c r="A441" t="s">
        <v>504</v>
      </c>
      <c r="B441">
        <v>38</v>
      </c>
      <c r="C441">
        <v>48</v>
      </c>
      <c r="D441" t="s">
        <v>53</v>
      </c>
      <c r="E441" t="s">
        <v>69</v>
      </c>
      <c r="F441" t="s">
        <v>58</v>
      </c>
      <c r="G441">
        <v>392</v>
      </c>
      <c r="H441">
        <v>25.95</v>
      </c>
      <c r="I441">
        <v>124</v>
      </c>
      <c r="J441">
        <v>502.67</v>
      </c>
      <c r="K441">
        <v>0</v>
      </c>
      <c r="L441" t="s">
        <v>62</v>
      </c>
      <c r="M441">
        <v>1</v>
      </c>
      <c r="N441">
        <v>1</v>
      </c>
      <c r="O441">
        <v>30.4</v>
      </c>
      <c r="P441">
        <v>0</v>
      </c>
      <c r="Q441">
        <v>1</v>
      </c>
      <c r="R441">
        <v>0</v>
      </c>
      <c r="S441" t="s">
        <v>63</v>
      </c>
      <c r="T441">
        <v>1</v>
      </c>
      <c r="U441">
        <v>0</v>
      </c>
      <c r="V441">
        <v>0</v>
      </c>
      <c r="W441">
        <v>0</v>
      </c>
      <c r="X441" t="s">
        <v>58</v>
      </c>
    </row>
    <row r="442" customHeight="1" spans="1:24">
      <c r="A442" t="s">
        <v>505</v>
      </c>
      <c r="B442">
        <v>75</v>
      </c>
      <c r="C442">
        <v>69</v>
      </c>
      <c r="D442" t="s">
        <v>60</v>
      </c>
      <c r="E442" t="s">
        <v>76</v>
      </c>
      <c r="F442" t="s">
        <v>55</v>
      </c>
      <c r="G442">
        <v>391</v>
      </c>
      <c r="H442">
        <v>14.22</v>
      </c>
      <c r="I442">
        <v>226</v>
      </c>
      <c r="J442">
        <v>873.58</v>
      </c>
      <c r="K442">
        <v>1</v>
      </c>
      <c r="L442" t="s">
        <v>56</v>
      </c>
      <c r="M442">
        <v>2</v>
      </c>
      <c r="N442">
        <v>2</v>
      </c>
      <c r="O442">
        <v>29</v>
      </c>
      <c r="P442">
        <v>0</v>
      </c>
      <c r="Q442">
        <v>0</v>
      </c>
      <c r="R442">
        <v>0</v>
      </c>
      <c r="S442" t="s">
        <v>63</v>
      </c>
      <c r="T442">
        <v>1</v>
      </c>
      <c r="U442">
        <v>1</v>
      </c>
      <c r="V442">
        <v>0</v>
      </c>
      <c r="W442">
        <v>1</v>
      </c>
      <c r="X442" t="s">
        <v>55</v>
      </c>
    </row>
    <row r="443" customHeight="1" spans="1:24">
      <c r="A443" t="s">
        <v>506</v>
      </c>
      <c r="B443">
        <v>71</v>
      </c>
      <c r="C443">
        <v>25</v>
      </c>
      <c r="D443" t="s">
        <v>72</v>
      </c>
      <c r="E443" t="s">
        <v>54</v>
      </c>
      <c r="F443" t="s">
        <v>58</v>
      </c>
      <c r="G443">
        <v>517</v>
      </c>
      <c r="H443">
        <v>15.75</v>
      </c>
      <c r="I443">
        <v>39</v>
      </c>
      <c r="J443">
        <v>1216.2</v>
      </c>
      <c r="K443">
        <v>0</v>
      </c>
      <c r="L443" t="s">
        <v>62</v>
      </c>
      <c r="M443">
        <v>1</v>
      </c>
      <c r="N443">
        <v>1</v>
      </c>
      <c r="O443">
        <v>21.7</v>
      </c>
      <c r="P443">
        <v>1</v>
      </c>
      <c r="Q443">
        <v>1</v>
      </c>
      <c r="R443">
        <v>0</v>
      </c>
      <c r="S443" t="s">
        <v>63</v>
      </c>
      <c r="T443">
        <v>1</v>
      </c>
      <c r="U443">
        <v>0</v>
      </c>
      <c r="V443">
        <v>0</v>
      </c>
      <c r="W443">
        <v>0</v>
      </c>
      <c r="X443" t="s">
        <v>58</v>
      </c>
    </row>
    <row r="444" customHeight="1" spans="1:24">
      <c r="A444" t="s">
        <v>507</v>
      </c>
      <c r="B444">
        <v>63</v>
      </c>
      <c r="C444">
        <v>23</v>
      </c>
      <c r="D444" t="s">
        <v>72</v>
      </c>
      <c r="E444" t="s">
        <v>54</v>
      </c>
      <c r="F444" t="s">
        <v>58</v>
      </c>
      <c r="G444">
        <v>633</v>
      </c>
      <c r="H444">
        <v>19.62</v>
      </c>
      <c r="I444">
        <v>17</v>
      </c>
      <c r="J444">
        <v>1097.68</v>
      </c>
      <c r="K444">
        <v>0</v>
      </c>
      <c r="L444" t="s">
        <v>62</v>
      </c>
      <c r="M444">
        <v>0</v>
      </c>
      <c r="N444">
        <v>0</v>
      </c>
      <c r="O444">
        <v>30.8</v>
      </c>
      <c r="P444">
        <v>0</v>
      </c>
      <c r="Q444">
        <v>0</v>
      </c>
      <c r="R444">
        <v>1</v>
      </c>
      <c r="S444" t="s">
        <v>57</v>
      </c>
      <c r="T444">
        <v>0</v>
      </c>
      <c r="U444">
        <v>0</v>
      </c>
      <c r="V444">
        <v>0</v>
      </c>
      <c r="W444">
        <v>0</v>
      </c>
      <c r="X444" t="s">
        <v>58</v>
      </c>
    </row>
    <row r="445" customHeight="1" spans="1:24">
      <c r="A445" t="s">
        <v>508</v>
      </c>
      <c r="B445">
        <v>62</v>
      </c>
      <c r="C445">
        <v>24</v>
      </c>
      <c r="D445" t="s">
        <v>53</v>
      </c>
      <c r="E445" t="s">
        <v>65</v>
      </c>
      <c r="F445" t="s">
        <v>58</v>
      </c>
      <c r="G445">
        <v>455</v>
      </c>
      <c r="H445">
        <v>16.74</v>
      </c>
      <c r="I445">
        <v>77</v>
      </c>
      <c r="J445">
        <v>485.81</v>
      </c>
      <c r="K445">
        <v>0</v>
      </c>
      <c r="L445" t="s">
        <v>62</v>
      </c>
      <c r="M445">
        <v>0</v>
      </c>
      <c r="N445">
        <v>0</v>
      </c>
      <c r="O445">
        <v>6.1</v>
      </c>
      <c r="P445">
        <v>1</v>
      </c>
      <c r="Q445">
        <v>3</v>
      </c>
      <c r="R445">
        <v>0</v>
      </c>
      <c r="S445" t="s">
        <v>57</v>
      </c>
      <c r="T445">
        <v>0</v>
      </c>
      <c r="U445">
        <v>0</v>
      </c>
      <c r="V445">
        <v>0</v>
      </c>
      <c r="W445">
        <v>0</v>
      </c>
      <c r="X445" t="s">
        <v>58</v>
      </c>
    </row>
    <row r="446" customHeight="1" spans="1:24">
      <c r="A446" t="s">
        <v>509</v>
      </c>
      <c r="B446">
        <v>55</v>
      </c>
      <c r="C446">
        <v>26</v>
      </c>
      <c r="D446" t="s">
        <v>53</v>
      </c>
      <c r="E446" t="s">
        <v>69</v>
      </c>
      <c r="F446" t="s">
        <v>58</v>
      </c>
      <c r="G446">
        <v>696</v>
      </c>
      <c r="H446">
        <v>7.69</v>
      </c>
      <c r="I446">
        <v>23</v>
      </c>
      <c r="J446">
        <v>459.92</v>
      </c>
      <c r="K446">
        <v>1</v>
      </c>
      <c r="L446" t="s">
        <v>56</v>
      </c>
      <c r="M446">
        <v>1</v>
      </c>
      <c r="N446">
        <v>1</v>
      </c>
      <c r="O446">
        <v>26</v>
      </c>
      <c r="P446">
        <v>1</v>
      </c>
      <c r="Q446">
        <v>0</v>
      </c>
      <c r="R446">
        <v>1</v>
      </c>
      <c r="S446" t="s">
        <v>63</v>
      </c>
      <c r="T446">
        <v>1</v>
      </c>
      <c r="U446">
        <v>1</v>
      </c>
      <c r="V446">
        <v>0</v>
      </c>
      <c r="W446">
        <v>0</v>
      </c>
      <c r="X446" t="s">
        <v>58</v>
      </c>
    </row>
    <row r="447" customHeight="1" spans="1:24">
      <c r="A447" t="s">
        <v>510</v>
      </c>
      <c r="B447">
        <v>52</v>
      </c>
      <c r="C447">
        <v>50</v>
      </c>
      <c r="D447" t="s">
        <v>53</v>
      </c>
      <c r="E447" t="s">
        <v>54</v>
      </c>
      <c r="F447" t="s">
        <v>58</v>
      </c>
      <c r="G447">
        <v>535</v>
      </c>
      <c r="H447">
        <v>17.64</v>
      </c>
      <c r="I447">
        <v>23</v>
      </c>
      <c r="J447">
        <v>422.2</v>
      </c>
      <c r="K447">
        <v>0</v>
      </c>
      <c r="L447" t="s">
        <v>62</v>
      </c>
      <c r="M447">
        <v>1</v>
      </c>
      <c r="N447">
        <v>2</v>
      </c>
      <c r="O447">
        <v>18.4</v>
      </c>
      <c r="P447">
        <v>0</v>
      </c>
      <c r="Q447">
        <v>0</v>
      </c>
      <c r="R447">
        <v>1</v>
      </c>
      <c r="S447" t="s">
        <v>63</v>
      </c>
      <c r="T447">
        <v>1</v>
      </c>
      <c r="U447">
        <v>0</v>
      </c>
      <c r="V447">
        <v>0</v>
      </c>
      <c r="W447">
        <v>0</v>
      </c>
      <c r="X447" t="s">
        <v>58</v>
      </c>
    </row>
    <row r="448" customHeight="1" spans="1:24">
      <c r="A448" t="s">
        <v>511</v>
      </c>
      <c r="B448">
        <v>50</v>
      </c>
      <c r="C448">
        <v>33</v>
      </c>
      <c r="D448" t="s">
        <v>53</v>
      </c>
      <c r="E448" t="s">
        <v>69</v>
      </c>
      <c r="F448" t="s">
        <v>58</v>
      </c>
      <c r="G448">
        <v>365</v>
      </c>
      <c r="H448">
        <v>27.94</v>
      </c>
      <c r="I448">
        <v>164</v>
      </c>
      <c r="J448">
        <v>426.73</v>
      </c>
      <c r="K448">
        <v>0</v>
      </c>
      <c r="L448" t="s">
        <v>62</v>
      </c>
      <c r="M448">
        <v>1</v>
      </c>
      <c r="N448">
        <v>2</v>
      </c>
      <c r="O448">
        <v>58.3</v>
      </c>
      <c r="P448">
        <v>1</v>
      </c>
      <c r="Q448">
        <v>0</v>
      </c>
      <c r="R448">
        <v>0</v>
      </c>
      <c r="S448" t="s">
        <v>63</v>
      </c>
      <c r="T448">
        <v>1</v>
      </c>
      <c r="U448">
        <v>0</v>
      </c>
      <c r="V448">
        <v>0</v>
      </c>
      <c r="W448">
        <v>0</v>
      </c>
      <c r="X448" t="s">
        <v>58</v>
      </c>
    </row>
    <row r="449" customHeight="1" spans="1:24">
      <c r="A449" t="s">
        <v>512</v>
      </c>
      <c r="B449">
        <v>19</v>
      </c>
      <c r="C449">
        <v>54</v>
      </c>
      <c r="D449" t="s">
        <v>53</v>
      </c>
      <c r="E449" t="s">
        <v>61</v>
      </c>
      <c r="F449" t="s">
        <v>55</v>
      </c>
      <c r="G449">
        <v>524</v>
      </c>
      <c r="H449">
        <v>7.49</v>
      </c>
      <c r="I449">
        <v>120</v>
      </c>
      <c r="J449">
        <v>392.77</v>
      </c>
      <c r="K449">
        <v>0</v>
      </c>
      <c r="L449" t="s">
        <v>62</v>
      </c>
      <c r="M449">
        <v>1</v>
      </c>
      <c r="N449">
        <v>1</v>
      </c>
      <c r="O449">
        <v>25.9</v>
      </c>
      <c r="P449">
        <v>0</v>
      </c>
      <c r="Q449">
        <v>0</v>
      </c>
      <c r="R449">
        <v>0</v>
      </c>
      <c r="S449" t="s">
        <v>63</v>
      </c>
      <c r="T449">
        <v>1</v>
      </c>
      <c r="U449">
        <v>0</v>
      </c>
      <c r="V449">
        <v>0</v>
      </c>
      <c r="W449">
        <v>1</v>
      </c>
      <c r="X449" t="s">
        <v>55</v>
      </c>
    </row>
    <row r="450" customHeight="1" spans="1:24">
      <c r="A450" t="s">
        <v>513</v>
      </c>
      <c r="B450">
        <v>72</v>
      </c>
      <c r="C450">
        <v>30</v>
      </c>
      <c r="D450" t="s">
        <v>60</v>
      </c>
      <c r="E450" t="s">
        <v>54</v>
      </c>
      <c r="F450" t="s">
        <v>58</v>
      </c>
      <c r="G450">
        <v>656</v>
      </c>
      <c r="H450">
        <v>14.26</v>
      </c>
      <c r="I450">
        <v>86</v>
      </c>
      <c r="J450">
        <v>608.65</v>
      </c>
      <c r="K450">
        <v>0</v>
      </c>
      <c r="L450" t="s">
        <v>62</v>
      </c>
      <c r="M450">
        <v>0</v>
      </c>
      <c r="N450">
        <v>0</v>
      </c>
      <c r="O450">
        <v>16.8</v>
      </c>
      <c r="P450">
        <v>0</v>
      </c>
      <c r="Q450">
        <v>0</v>
      </c>
      <c r="R450">
        <v>0</v>
      </c>
      <c r="S450" t="s">
        <v>63</v>
      </c>
      <c r="T450">
        <v>0</v>
      </c>
      <c r="U450">
        <v>0</v>
      </c>
      <c r="V450">
        <v>0</v>
      </c>
      <c r="W450">
        <v>0</v>
      </c>
      <c r="X450" t="s">
        <v>58</v>
      </c>
    </row>
    <row r="451" customHeight="1" spans="1:24">
      <c r="A451" t="s">
        <v>514</v>
      </c>
      <c r="B451">
        <v>74</v>
      </c>
      <c r="C451">
        <v>23</v>
      </c>
      <c r="D451" t="s">
        <v>72</v>
      </c>
      <c r="E451" t="s">
        <v>117</v>
      </c>
      <c r="F451" t="s">
        <v>58</v>
      </c>
      <c r="G451">
        <v>700</v>
      </c>
      <c r="H451">
        <v>4.18</v>
      </c>
      <c r="I451">
        <v>93</v>
      </c>
      <c r="J451">
        <v>984.68</v>
      </c>
      <c r="K451">
        <v>1</v>
      </c>
      <c r="L451" t="s">
        <v>56</v>
      </c>
      <c r="M451">
        <v>1</v>
      </c>
      <c r="N451">
        <v>2</v>
      </c>
      <c r="O451">
        <v>7.5</v>
      </c>
      <c r="P451">
        <v>0</v>
      </c>
      <c r="Q451">
        <v>0</v>
      </c>
      <c r="R451">
        <v>1</v>
      </c>
      <c r="S451" t="s">
        <v>57</v>
      </c>
      <c r="T451">
        <v>1</v>
      </c>
      <c r="U451">
        <v>1</v>
      </c>
      <c r="V451">
        <v>1</v>
      </c>
      <c r="W451">
        <v>0</v>
      </c>
      <c r="X451" t="s">
        <v>58</v>
      </c>
    </row>
    <row r="452" customHeight="1" spans="1:24">
      <c r="A452" t="s">
        <v>515</v>
      </c>
      <c r="B452">
        <v>48</v>
      </c>
      <c r="C452">
        <v>14</v>
      </c>
      <c r="D452" t="s">
        <v>60</v>
      </c>
      <c r="E452" t="s">
        <v>76</v>
      </c>
      <c r="F452" t="s">
        <v>58</v>
      </c>
      <c r="G452">
        <v>578</v>
      </c>
      <c r="H452">
        <v>27.41</v>
      </c>
      <c r="I452">
        <v>78</v>
      </c>
      <c r="J452">
        <v>644.37</v>
      </c>
      <c r="K452">
        <v>0</v>
      </c>
      <c r="L452" t="s">
        <v>62</v>
      </c>
      <c r="M452">
        <v>0</v>
      </c>
      <c r="N452">
        <v>0</v>
      </c>
      <c r="O452">
        <v>39.7</v>
      </c>
      <c r="P452">
        <v>0</v>
      </c>
      <c r="Q452">
        <v>0</v>
      </c>
      <c r="R452">
        <v>0</v>
      </c>
      <c r="S452" t="s">
        <v>57</v>
      </c>
      <c r="T452">
        <v>0</v>
      </c>
      <c r="U452">
        <v>0</v>
      </c>
      <c r="V452">
        <v>0</v>
      </c>
      <c r="W452">
        <v>0</v>
      </c>
      <c r="X452" t="s">
        <v>58</v>
      </c>
    </row>
    <row r="453" customHeight="1" spans="1:24">
      <c r="A453" t="s">
        <v>516</v>
      </c>
      <c r="B453">
        <v>68</v>
      </c>
      <c r="C453">
        <v>40</v>
      </c>
      <c r="D453" t="s">
        <v>60</v>
      </c>
      <c r="E453" t="s">
        <v>69</v>
      </c>
      <c r="F453" t="s">
        <v>58</v>
      </c>
      <c r="G453">
        <v>404</v>
      </c>
      <c r="H453">
        <v>17.08</v>
      </c>
      <c r="I453">
        <v>236</v>
      </c>
      <c r="J453">
        <v>812.75</v>
      </c>
      <c r="K453">
        <v>1</v>
      </c>
      <c r="L453" t="s">
        <v>56</v>
      </c>
      <c r="M453">
        <v>1</v>
      </c>
      <c r="N453">
        <v>3</v>
      </c>
      <c r="O453">
        <v>19.8</v>
      </c>
      <c r="P453">
        <v>1</v>
      </c>
      <c r="Q453">
        <v>1</v>
      </c>
      <c r="R453">
        <v>0</v>
      </c>
      <c r="S453" t="s">
        <v>63</v>
      </c>
      <c r="T453">
        <v>1</v>
      </c>
      <c r="U453">
        <v>1</v>
      </c>
      <c r="V453">
        <v>0</v>
      </c>
      <c r="W453">
        <v>0</v>
      </c>
      <c r="X453" t="s">
        <v>58</v>
      </c>
    </row>
    <row r="454" customHeight="1" spans="1:24">
      <c r="A454" t="s">
        <v>517</v>
      </c>
      <c r="B454">
        <v>41</v>
      </c>
      <c r="C454">
        <v>65</v>
      </c>
      <c r="D454" t="s">
        <v>53</v>
      </c>
      <c r="E454" t="s">
        <v>76</v>
      </c>
      <c r="F454" t="s">
        <v>58</v>
      </c>
      <c r="G454">
        <v>367</v>
      </c>
      <c r="H454">
        <v>9.5</v>
      </c>
      <c r="I454">
        <v>69</v>
      </c>
      <c r="J454">
        <v>365.27</v>
      </c>
      <c r="K454">
        <v>0</v>
      </c>
      <c r="L454" t="s">
        <v>62</v>
      </c>
      <c r="M454">
        <v>0</v>
      </c>
      <c r="N454">
        <v>1</v>
      </c>
      <c r="O454">
        <v>14.5</v>
      </c>
      <c r="P454">
        <v>0</v>
      </c>
      <c r="Q454">
        <v>0</v>
      </c>
      <c r="R454">
        <v>0</v>
      </c>
      <c r="S454" t="s">
        <v>63</v>
      </c>
      <c r="T454">
        <v>0</v>
      </c>
      <c r="U454">
        <v>0</v>
      </c>
      <c r="V454">
        <v>0</v>
      </c>
      <c r="W454">
        <v>0</v>
      </c>
      <c r="X454" t="s">
        <v>58</v>
      </c>
    </row>
    <row r="455" customHeight="1" spans="1:24">
      <c r="A455" t="s">
        <v>518</v>
      </c>
      <c r="B455">
        <v>24</v>
      </c>
      <c r="C455">
        <v>62</v>
      </c>
      <c r="D455" t="s">
        <v>72</v>
      </c>
      <c r="E455" t="s">
        <v>69</v>
      </c>
      <c r="F455" t="s">
        <v>58</v>
      </c>
      <c r="G455">
        <v>486</v>
      </c>
      <c r="H455">
        <v>18.92</v>
      </c>
      <c r="I455">
        <v>27</v>
      </c>
      <c r="J455">
        <v>1242.2</v>
      </c>
      <c r="K455">
        <v>0</v>
      </c>
      <c r="L455" t="s">
        <v>62</v>
      </c>
      <c r="M455">
        <v>0</v>
      </c>
      <c r="N455">
        <v>1</v>
      </c>
      <c r="O455">
        <v>28</v>
      </c>
      <c r="P455">
        <v>1</v>
      </c>
      <c r="Q455">
        <v>1</v>
      </c>
      <c r="R455">
        <v>0</v>
      </c>
      <c r="S455" t="s">
        <v>63</v>
      </c>
      <c r="T455">
        <v>0</v>
      </c>
      <c r="U455">
        <v>0</v>
      </c>
      <c r="V455">
        <v>0</v>
      </c>
      <c r="W455">
        <v>0</v>
      </c>
      <c r="X455" t="s">
        <v>58</v>
      </c>
    </row>
    <row r="456" customHeight="1" spans="1:24">
      <c r="A456" t="s">
        <v>519</v>
      </c>
      <c r="B456">
        <v>66</v>
      </c>
      <c r="C456">
        <v>19</v>
      </c>
      <c r="D456" t="s">
        <v>60</v>
      </c>
      <c r="E456" t="s">
        <v>65</v>
      </c>
      <c r="F456" t="s">
        <v>58</v>
      </c>
      <c r="G456">
        <v>651</v>
      </c>
      <c r="H456">
        <v>5.96</v>
      </c>
      <c r="I456">
        <v>176</v>
      </c>
      <c r="J456">
        <v>929.09</v>
      </c>
      <c r="K456">
        <v>0</v>
      </c>
      <c r="L456" t="s">
        <v>62</v>
      </c>
      <c r="M456">
        <v>2</v>
      </c>
      <c r="N456">
        <v>3</v>
      </c>
      <c r="O456">
        <v>31.8</v>
      </c>
      <c r="P456">
        <v>0</v>
      </c>
      <c r="Q456">
        <v>0</v>
      </c>
      <c r="R456">
        <v>0</v>
      </c>
      <c r="S456" t="s">
        <v>57</v>
      </c>
      <c r="T456">
        <v>1</v>
      </c>
      <c r="U456">
        <v>0</v>
      </c>
      <c r="V456">
        <v>0</v>
      </c>
      <c r="W456">
        <v>0</v>
      </c>
      <c r="X456" t="s">
        <v>58</v>
      </c>
    </row>
    <row r="457" customHeight="1" spans="1:24">
      <c r="A457" t="s">
        <v>520</v>
      </c>
      <c r="B457">
        <v>47</v>
      </c>
      <c r="C457">
        <v>35</v>
      </c>
      <c r="D457" t="s">
        <v>72</v>
      </c>
      <c r="E457" t="s">
        <v>117</v>
      </c>
      <c r="F457" t="s">
        <v>55</v>
      </c>
      <c r="G457">
        <v>465</v>
      </c>
      <c r="H457">
        <v>7.67</v>
      </c>
      <c r="I457">
        <v>105</v>
      </c>
      <c r="J457">
        <v>1196.23</v>
      </c>
      <c r="K457">
        <v>0</v>
      </c>
      <c r="L457" t="s">
        <v>62</v>
      </c>
      <c r="M457">
        <v>0</v>
      </c>
      <c r="N457">
        <v>0</v>
      </c>
      <c r="O457">
        <v>31.6</v>
      </c>
      <c r="P457">
        <v>1</v>
      </c>
      <c r="Q457">
        <v>1</v>
      </c>
      <c r="R457">
        <v>0</v>
      </c>
      <c r="S457" t="s">
        <v>63</v>
      </c>
      <c r="T457">
        <v>0</v>
      </c>
      <c r="U457">
        <v>0</v>
      </c>
      <c r="V457">
        <v>0</v>
      </c>
      <c r="W457">
        <v>1</v>
      </c>
      <c r="X457" t="s">
        <v>58</v>
      </c>
    </row>
    <row r="458" customHeight="1" spans="1:24">
      <c r="A458" t="s">
        <v>521</v>
      </c>
      <c r="B458">
        <v>72</v>
      </c>
      <c r="C458">
        <v>51</v>
      </c>
      <c r="D458" t="s">
        <v>72</v>
      </c>
      <c r="E458" t="s">
        <v>69</v>
      </c>
      <c r="F458" t="s">
        <v>55</v>
      </c>
      <c r="G458">
        <v>468</v>
      </c>
      <c r="H458">
        <v>3.4</v>
      </c>
      <c r="I458">
        <v>263</v>
      </c>
      <c r="J458">
        <v>1083.15</v>
      </c>
      <c r="K458">
        <v>2</v>
      </c>
      <c r="L458" t="s">
        <v>56</v>
      </c>
      <c r="M458">
        <v>1</v>
      </c>
      <c r="N458">
        <v>1</v>
      </c>
      <c r="O458">
        <v>24.2</v>
      </c>
      <c r="P458">
        <v>1</v>
      </c>
      <c r="Q458">
        <v>1</v>
      </c>
      <c r="R458">
        <v>1</v>
      </c>
      <c r="S458" t="s">
        <v>63</v>
      </c>
      <c r="T458">
        <v>1</v>
      </c>
      <c r="U458">
        <v>1</v>
      </c>
      <c r="V458">
        <v>1</v>
      </c>
      <c r="W458">
        <v>1</v>
      </c>
      <c r="X458" t="s">
        <v>55</v>
      </c>
    </row>
    <row r="459" customHeight="1" spans="1:24">
      <c r="A459" t="s">
        <v>522</v>
      </c>
      <c r="B459">
        <v>30</v>
      </c>
      <c r="C459">
        <v>45</v>
      </c>
      <c r="D459" t="s">
        <v>53</v>
      </c>
      <c r="E459" t="s">
        <v>69</v>
      </c>
      <c r="F459" t="s">
        <v>58</v>
      </c>
      <c r="G459">
        <v>408</v>
      </c>
      <c r="H459">
        <v>7.33</v>
      </c>
      <c r="I459">
        <v>83</v>
      </c>
      <c r="J459">
        <v>410.77</v>
      </c>
      <c r="K459">
        <v>1</v>
      </c>
      <c r="L459" t="s">
        <v>56</v>
      </c>
      <c r="M459">
        <v>2</v>
      </c>
      <c r="N459">
        <v>3</v>
      </c>
      <c r="O459">
        <v>25.9</v>
      </c>
      <c r="P459">
        <v>2</v>
      </c>
      <c r="Q459">
        <v>0</v>
      </c>
      <c r="R459">
        <v>0</v>
      </c>
      <c r="S459" t="s">
        <v>63</v>
      </c>
      <c r="T459">
        <v>1</v>
      </c>
      <c r="U459">
        <v>1</v>
      </c>
      <c r="V459">
        <v>0</v>
      </c>
      <c r="W459">
        <v>0</v>
      </c>
      <c r="X459" t="s">
        <v>58</v>
      </c>
    </row>
    <row r="460" customHeight="1" spans="1:24">
      <c r="A460" t="s">
        <v>523</v>
      </c>
      <c r="B460">
        <v>45</v>
      </c>
      <c r="C460">
        <v>5</v>
      </c>
      <c r="D460" t="s">
        <v>53</v>
      </c>
      <c r="E460" t="s">
        <v>69</v>
      </c>
      <c r="F460" t="s">
        <v>58</v>
      </c>
      <c r="G460">
        <v>351</v>
      </c>
      <c r="H460">
        <v>31.57</v>
      </c>
      <c r="I460">
        <v>179</v>
      </c>
      <c r="J460">
        <v>351.54</v>
      </c>
      <c r="K460">
        <v>0</v>
      </c>
      <c r="L460" t="s">
        <v>62</v>
      </c>
      <c r="M460">
        <v>0</v>
      </c>
      <c r="N460">
        <v>1</v>
      </c>
      <c r="O460">
        <v>26.8</v>
      </c>
      <c r="P460">
        <v>0</v>
      </c>
      <c r="Q460">
        <v>1</v>
      </c>
      <c r="R460">
        <v>0</v>
      </c>
      <c r="S460" t="s">
        <v>66</v>
      </c>
      <c r="T460">
        <v>0</v>
      </c>
      <c r="U460">
        <v>0</v>
      </c>
      <c r="V460">
        <v>0</v>
      </c>
      <c r="W460">
        <v>0</v>
      </c>
      <c r="X460" t="s">
        <v>58</v>
      </c>
    </row>
    <row r="461" customHeight="1" spans="1:24">
      <c r="A461" t="s">
        <v>524</v>
      </c>
      <c r="B461">
        <v>56</v>
      </c>
      <c r="C461">
        <v>43</v>
      </c>
      <c r="D461" t="s">
        <v>53</v>
      </c>
      <c r="E461" t="s">
        <v>65</v>
      </c>
      <c r="F461" t="s">
        <v>58</v>
      </c>
      <c r="G461">
        <v>376</v>
      </c>
      <c r="H461">
        <v>10.67</v>
      </c>
      <c r="I461">
        <v>196</v>
      </c>
      <c r="J461">
        <v>521.49</v>
      </c>
      <c r="K461">
        <v>0</v>
      </c>
      <c r="L461" t="s">
        <v>62</v>
      </c>
      <c r="M461">
        <v>0</v>
      </c>
      <c r="N461">
        <v>0</v>
      </c>
      <c r="O461">
        <v>28</v>
      </c>
      <c r="P461">
        <v>2</v>
      </c>
      <c r="Q461">
        <v>1</v>
      </c>
      <c r="R461">
        <v>2</v>
      </c>
      <c r="S461" t="s">
        <v>63</v>
      </c>
      <c r="T461">
        <v>0</v>
      </c>
      <c r="U461">
        <v>0</v>
      </c>
      <c r="V461">
        <v>0</v>
      </c>
      <c r="W461">
        <v>0</v>
      </c>
      <c r="X461" t="s">
        <v>58</v>
      </c>
    </row>
    <row r="462" customHeight="1" spans="1:24">
      <c r="A462" t="s">
        <v>525</v>
      </c>
      <c r="B462">
        <v>25</v>
      </c>
      <c r="C462">
        <v>3</v>
      </c>
      <c r="D462" t="s">
        <v>60</v>
      </c>
      <c r="E462" t="s">
        <v>76</v>
      </c>
      <c r="F462" t="s">
        <v>58</v>
      </c>
      <c r="G462">
        <v>420</v>
      </c>
      <c r="H462">
        <v>22.66</v>
      </c>
      <c r="I462">
        <v>84</v>
      </c>
      <c r="J462">
        <v>726.89</v>
      </c>
      <c r="K462">
        <v>0</v>
      </c>
      <c r="L462" t="s">
        <v>62</v>
      </c>
      <c r="M462">
        <v>1</v>
      </c>
      <c r="N462">
        <v>1</v>
      </c>
      <c r="O462">
        <v>29.1</v>
      </c>
      <c r="P462">
        <v>1</v>
      </c>
      <c r="Q462">
        <v>2</v>
      </c>
      <c r="R462">
        <v>0</v>
      </c>
      <c r="S462" t="s">
        <v>66</v>
      </c>
      <c r="T462">
        <v>1</v>
      </c>
      <c r="U462">
        <v>0</v>
      </c>
      <c r="V462">
        <v>0</v>
      </c>
      <c r="W462">
        <v>0</v>
      </c>
      <c r="X462" t="s">
        <v>58</v>
      </c>
    </row>
    <row r="463" customHeight="1" spans="1:24">
      <c r="A463" t="s">
        <v>526</v>
      </c>
      <c r="B463">
        <v>75</v>
      </c>
      <c r="C463">
        <v>9</v>
      </c>
      <c r="D463" t="s">
        <v>72</v>
      </c>
      <c r="E463" t="s">
        <v>54</v>
      </c>
      <c r="F463" t="s">
        <v>58</v>
      </c>
      <c r="G463">
        <v>658</v>
      </c>
      <c r="H463">
        <v>9.64</v>
      </c>
      <c r="I463">
        <v>68</v>
      </c>
      <c r="J463">
        <v>1465.94</v>
      </c>
      <c r="K463">
        <v>0</v>
      </c>
      <c r="L463" t="s">
        <v>62</v>
      </c>
      <c r="M463">
        <v>4</v>
      </c>
      <c r="N463">
        <v>4</v>
      </c>
      <c r="O463">
        <v>37.1</v>
      </c>
      <c r="P463">
        <v>1</v>
      </c>
      <c r="Q463">
        <v>2</v>
      </c>
      <c r="R463">
        <v>0</v>
      </c>
      <c r="S463" t="s">
        <v>57</v>
      </c>
      <c r="T463">
        <v>1</v>
      </c>
      <c r="U463">
        <v>0</v>
      </c>
      <c r="V463">
        <v>0</v>
      </c>
      <c r="W463">
        <v>0</v>
      </c>
      <c r="X463" t="s">
        <v>58</v>
      </c>
    </row>
    <row r="464" customHeight="1" spans="1:24">
      <c r="A464" t="s">
        <v>527</v>
      </c>
      <c r="B464">
        <v>53</v>
      </c>
      <c r="C464">
        <v>48</v>
      </c>
      <c r="D464" t="s">
        <v>60</v>
      </c>
      <c r="E464" t="s">
        <v>54</v>
      </c>
      <c r="F464" t="s">
        <v>55</v>
      </c>
      <c r="G464">
        <v>364</v>
      </c>
      <c r="H464">
        <v>25.6</v>
      </c>
      <c r="I464">
        <v>172</v>
      </c>
      <c r="J464">
        <v>994.63</v>
      </c>
      <c r="K464">
        <v>2</v>
      </c>
      <c r="L464" t="s">
        <v>56</v>
      </c>
      <c r="M464">
        <v>1</v>
      </c>
      <c r="N464">
        <v>3</v>
      </c>
      <c r="O464">
        <v>24.7</v>
      </c>
      <c r="P464">
        <v>1</v>
      </c>
      <c r="Q464">
        <v>2</v>
      </c>
      <c r="R464">
        <v>0</v>
      </c>
      <c r="S464" t="s">
        <v>63</v>
      </c>
      <c r="T464">
        <v>1</v>
      </c>
      <c r="U464">
        <v>1</v>
      </c>
      <c r="V464">
        <v>0</v>
      </c>
      <c r="W464">
        <v>1</v>
      </c>
      <c r="X464" t="s">
        <v>55</v>
      </c>
    </row>
    <row r="465" customHeight="1" spans="1:24">
      <c r="A465" t="s">
        <v>528</v>
      </c>
      <c r="B465">
        <v>27</v>
      </c>
      <c r="C465">
        <v>8</v>
      </c>
      <c r="D465" t="s">
        <v>72</v>
      </c>
      <c r="E465" t="s">
        <v>76</v>
      </c>
      <c r="F465" t="s">
        <v>58</v>
      </c>
      <c r="G465">
        <v>408</v>
      </c>
      <c r="H465">
        <v>7.74</v>
      </c>
      <c r="I465">
        <v>160</v>
      </c>
      <c r="J465">
        <v>1267.76</v>
      </c>
      <c r="K465">
        <v>1</v>
      </c>
      <c r="L465" t="s">
        <v>56</v>
      </c>
      <c r="M465">
        <v>0</v>
      </c>
      <c r="N465">
        <v>0</v>
      </c>
      <c r="O465">
        <v>14.2</v>
      </c>
      <c r="P465">
        <v>1</v>
      </c>
      <c r="Q465">
        <v>0</v>
      </c>
      <c r="R465">
        <v>2</v>
      </c>
      <c r="S465" t="s">
        <v>57</v>
      </c>
      <c r="T465">
        <v>0</v>
      </c>
      <c r="U465">
        <v>1</v>
      </c>
      <c r="V465">
        <v>0</v>
      </c>
      <c r="W465">
        <v>0</v>
      </c>
      <c r="X465" t="s">
        <v>58</v>
      </c>
    </row>
    <row r="466" customHeight="1" spans="1:24">
      <c r="A466" t="s">
        <v>529</v>
      </c>
      <c r="B466">
        <v>60</v>
      </c>
      <c r="C466">
        <v>25</v>
      </c>
      <c r="D466" t="s">
        <v>60</v>
      </c>
      <c r="E466" t="s">
        <v>69</v>
      </c>
      <c r="F466" t="s">
        <v>58</v>
      </c>
      <c r="G466">
        <v>270</v>
      </c>
      <c r="H466">
        <v>18.39</v>
      </c>
      <c r="I466">
        <v>21</v>
      </c>
      <c r="J466">
        <v>645.22</v>
      </c>
      <c r="K466">
        <v>1</v>
      </c>
      <c r="L466" t="s">
        <v>56</v>
      </c>
      <c r="M466">
        <v>0</v>
      </c>
      <c r="N466">
        <v>0</v>
      </c>
      <c r="O466">
        <v>22.3</v>
      </c>
      <c r="P466">
        <v>4</v>
      </c>
      <c r="Q466">
        <v>0</v>
      </c>
      <c r="R466">
        <v>1</v>
      </c>
      <c r="S466" t="s">
        <v>63</v>
      </c>
      <c r="T466">
        <v>0</v>
      </c>
      <c r="U466">
        <v>1</v>
      </c>
      <c r="V466">
        <v>0</v>
      </c>
      <c r="W466">
        <v>0</v>
      </c>
      <c r="X466" t="s">
        <v>58</v>
      </c>
    </row>
    <row r="467" customHeight="1" spans="1:24">
      <c r="A467" t="s">
        <v>530</v>
      </c>
      <c r="B467">
        <v>68</v>
      </c>
      <c r="C467">
        <v>43</v>
      </c>
      <c r="D467" t="s">
        <v>53</v>
      </c>
      <c r="E467" t="s">
        <v>65</v>
      </c>
      <c r="F467" t="s">
        <v>58</v>
      </c>
      <c r="G467">
        <v>507</v>
      </c>
      <c r="H467">
        <v>17.41</v>
      </c>
      <c r="I467">
        <v>41</v>
      </c>
      <c r="J467">
        <v>366.06</v>
      </c>
      <c r="K467">
        <v>0</v>
      </c>
      <c r="L467" t="s">
        <v>62</v>
      </c>
      <c r="M467">
        <v>0</v>
      </c>
      <c r="N467">
        <v>2</v>
      </c>
      <c r="O467">
        <v>33</v>
      </c>
      <c r="P467">
        <v>1</v>
      </c>
      <c r="Q467">
        <v>1</v>
      </c>
      <c r="R467">
        <v>1</v>
      </c>
      <c r="S467" t="s">
        <v>63</v>
      </c>
      <c r="T467">
        <v>0</v>
      </c>
      <c r="U467">
        <v>0</v>
      </c>
      <c r="V467">
        <v>1</v>
      </c>
      <c r="W467">
        <v>0</v>
      </c>
      <c r="X467" t="s">
        <v>58</v>
      </c>
    </row>
    <row r="468" customHeight="1" spans="1:24">
      <c r="A468" t="s">
        <v>531</v>
      </c>
      <c r="B468">
        <v>39</v>
      </c>
      <c r="C468">
        <v>48</v>
      </c>
      <c r="D468" t="s">
        <v>53</v>
      </c>
      <c r="E468" t="s">
        <v>61</v>
      </c>
      <c r="F468" t="s">
        <v>58</v>
      </c>
      <c r="G468">
        <v>605</v>
      </c>
      <c r="H468">
        <v>41.28</v>
      </c>
      <c r="I468">
        <v>0</v>
      </c>
      <c r="J468">
        <v>488.07</v>
      </c>
      <c r="K468">
        <v>1</v>
      </c>
      <c r="L468" t="s">
        <v>56</v>
      </c>
      <c r="M468">
        <v>0</v>
      </c>
      <c r="N468">
        <v>0</v>
      </c>
      <c r="O468">
        <v>2.6</v>
      </c>
      <c r="P468">
        <v>2</v>
      </c>
      <c r="Q468">
        <v>1</v>
      </c>
      <c r="R468">
        <v>0</v>
      </c>
      <c r="S468" t="s">
        <v>63</v>
      </c>
      <c r="T468">
        <v>0</v>
      </c>
      <c r="U468">
        <v>1</v>
      </c>
      <c r="V468">
        <v>0</v>
      </c>
      <c r="W468">
        <v>0</v>
      </c>
      <c r="X468" t="s">
        <v>58</v>
      </c>
    </row>
    <row r="469" customHeight="1" spans="1:24">
      <c r="A469" t="s">
        <v>532</v>
      </c>
      <c r="B469">
        <v>53</v>
      </c>
      <c r="C469">
        <v>33</v>
      </c>
      <c r="D469" t="s">
        <v>60</v>
      </c>
      <c r="E469" t="s">
        <v>76</v>
      </c>
      <c r="F469" t="s">
        <v>58</v>
      </c>
      <c r="G469">
        <v>644</v>
      </c>
      <c r="H469">
        <v>24.3</v>
      </c>
      <c r="I469">
        <v>162</v>
      </c>
      <c r="J469">
        <v>885.26</v>
      </c>
      <c r="K469">
        <v>0</v>
      </c>
      <c r="L469" t="s">
        <v>62</v>
      </c>
      <c r="M469">
        <v>1</v>
      </c>
      <c r="N469">
        <v>2</v>
      </c>
      <c r="O469">
        <v>2.6</v>
      </c>
      <c r="P469">
        <v>1</v>
      </c>
      <c r="Q469">
        <v>0</v>
      </c>
      <c r="R469">
        <v>1</v>
      </c>
      <c r="S469" t="s">
        <v>63</v>
      </c>
      <c r="T469">
        <v>1</v>
      </c>
      <c r="U469">
        <v>0</v>
      </c>
      <c r="V469">
        <v>0</v>
      </c>
      <c r="W469">
        <v>0</v>
      </c>
      <c r="X469" t="s">
        <v>58</v>
      </c>
    </row>
    <row r="470" customHeight="1" spans="1:24">
      <c r="A470" t="s">
        <v>533</v>
      </c>
      <c r="B470">
        <v>61</v>
      </c>
      <c r="C470">
        <v>7</v>
      </c>
      <c r="D470" t="s">
        <v>60</v>
      </c>
      <c r="E470" t="s">
        <v>54</v>
      </c>
      <c r="F470" t="s">
        <v>55</v>
      </c>
      <c r="G470">
        <v>431</v>
      </c>
      <c r="H470">
        <v>12.07</v>
      </c>
      <c r="I470">
        <v>102</v>
      </c>
      <c r="J470">
        <v>992.24</v>
      </c>
      <c r="K470">
        <v>0</v>
      </c>
      <c r="L470" t="s">
        <v>62</v>
      </c>
      <c r="M470">
        <v>0</v>
      </c>
      <c r="N470">
        <v>0</v>
      </c>
      <c r="O470">
        <v>23.7</v>
      </c>
      <c r="P470">
        <v>3</v>
      </c>
      <c r="Q470">
        <v>0</v>
      </c>
      <c r="R470">
        <v>0</v>
      </c>
      <c r="S470" t="s">
        <v>57</v>
      </c>
      <c r="T470">
        <v>0</v>
      </c>
      <c r="U470">
        <v>0</v>
      </c>
      <c r="V470">
        <v>0</v>
      </c>
      <c r="W470">
        <v>1</v>
      </c>
      <c r="X470" t="s">
        <v>55</v>
      </c>
    </row>
    <row r="471" customHeight="1" spans="1:24">
      <c r="A471" t="s">
        <v>534</v>
      </c>
      <c r="B471">
        <v>26</v>
      </c>
      <c r="C471">
        <v>58</v>
      </c>
      <c r="D471" t="s">
        <v>60</v>
      </c>
      <c r="E471" t="s">
        <v>54</v>
      </c>
      <c r="F471" t="s">
        <v>55</v>
      </c>
      <c r="G471">
        <v>486</v>
      </c>
      <c r="H471">
        <v>24.85</v>
      </c>
      <c r="I471">
        <v>109</v>
      </c>
      <c r="J471">
        <v>702.43</v>
      </c>
      <c r="K471">
        <v>0</v>
      </c>
      <c r="L471" t="s">
        <v>62</v>
      </c>
      <c r="M471">
        <v>1</v>
      </c>
      <c r="N471">
        <v>1</v>
      </c>
      <c r="O471">
        <v>42.2</v>
      </c>
      <c r="P471">
        <v>2</v>
      </c>
      <c r="Q471">
        <v>1</v>
      </c>
      <c r="R471">
        <v>0</v>
      </c>
      <c r="S471" t="s">
        <v>63</v>
      </c>
      <c r="T471">
        <v>1</v>
      </c>
      <c r="U471">
        <v>0</v>
      </c>
      <c r="V471">
        <v>0</v>
      </c>
      <c r="W471">
        <v>1</v>
      </c>
      <c r="X471" t="s">
        <v>55</v>
      </c>
    </row>
    <row r="472" customHeight="1" spans="1:24">
      <c r="A472" t="s">
        <v>535</v>
      </c>
      <c r="B472">
        <v>48</v>
      </c>
      <c r="C472">
        <v>69</v>
      </c>
      <c r="D472" t="s">
        <v>53</v>
      </c>
      <c r="E472" t="s">
        <v>65</v>
      </c>
      <c r="F472" t="s">
        <v>58</v>
      </c>
      <c r="G472">
        <v>377</v>
      </c>
      <c r="H472">
        <v>39.38</v>
      </c>
      <c r="I472">
        <v>2</v>
      </c>
      <c r="J472">
        <v>293.55</v>
      </c>
      <c r="K472">
        <v>0</v>
      </c>
      <c r="L472" t="s">
        <v>62</v>
      </c>
      <c r="M472">
        <v>0</v>
      </c>
      <c r="N472">
        <v>1</v>
      </c>
      <c r="O472">
        <v>8.8</v>
      </c>
      <c r="P472">
        <v>2</v>
      </c>
      <c r="Q472">
        <v>1</v>
      </c>
      <c r="R472">
        <v>1</v>
      </c>
      <c r="S472" t="s">
        <v>63</v>
      </c>
      <c r="T472">
        <v>0</v>
      </c>
      <c r="U472">
        <v>0</v>
      </c>
      <c r="V472">
        <v>0</v>
      </c>
      <c r="W472">
        <v>0</v>
      </c>
      <c r="X472" t="s">
        <v>58</v>
      </c>
    </row>
    <row r="473" customHeight="1" spans="1:24">
      <c r="A473" t="s">
        <v>536</v>
      </c>
      <c r="B473">
        <v>50</v>
      </c>
      <c r="C473">
        <v>64</v>
      </c>
      <c r="D473" t="s">
        <v>60</v>
      </c>
      <c r="E473" t="s">
        <v>69</v>
      </c>
      <c r="F473" t="s">
        <v>58</v>
      </c>
      <c r="G473">
        <v>479</v>
      </c>
      <c r="H473">
        <v>1.7</v>
      </c>
      <c r="I473">
        <v>43</v>
      </c>
      <c r="J473">
        <v>526.31</v>
      </c>
      <c r="K473">
        <v>0</v>
      </c>
      <c r="L473" t="s">
        <v>62</v>
      </c>
      <c r="M473">
        <v>0</v>
      </c>
      <c r="N473">
        <v>0</v>
      </c>
      <c r="O473">
        <v>25.2</v>
      </c>
      <c r="P473">
        <v>3</v>
      </c>
      <c r="Q473">
        <v>1</v>
      </c>
      <c r="R473">
        <v>0</v>
      </c>
      <c r="S473" t="s">
        <v>63</v>
      </c>
      <c r="T473">
        <v>0</v>
      </c>
      <c r="U473">
        <v>0</v>
      </c>
      <c r="V473">
        <v>1</v>
      </c>
      <c r="W473">
        <v>0</v>
      </c>
      <c r="X473" t="s">
        <v>58</v>
      </c>
    </row>
    <row r="474" customHeight="1" spans="1:24">
      <c r="A474" t="s">
        <v>537</v>
      </c>
      <c r="B474">
        <v>35</v>
      </c>
      <c r="C474">
        <v>54</v>
      </c>
      <c r="D474" t="s">
        <v>53</v>
      </c>
      <c r="E474" t="s">
        <v>76</v>
      </c>
      <c r="F474" t="s">
        <v>55</v>
      </c>
      <c r="G474">
        <v>447</v>
      </c>
      <c r="H474">
        <v>9.58</v>
      </c>
      <c r="I474">
        <v>87</v>
      </c>
      <c r="J474">
        <v>586.12</v>
      </c>
      <c r="K474">
        <v>0</v>
      </c>
      <c r="L474" t="s">
        <v>62</v>
      </c>
      <c r="M474">
        <v>0</v>
      </c>
      <c r="N474">
        <v>1</v>
      </c>
      <c r="O474">
        <v>19.2</v>
      </c>
      <c r="P474">
        <v>0</v>
      </c>
      <c r="Q474">
        <v>0</v>
      </c>
      <c r="R474">
        <v>1</v>
      </c>
      <c r="S474" t="s">
        <v>63</v>
      </c>
      <c r="T474">
        <v>0</v>
      </c>
      <c r="U474">
        <v>0</v>
      </c>
      <c r="V474">
        <v>0</v>
      </c>
      <c r="W474">
        <v>1</v>
      </c>
      <c r="X474" t="s">
        <v>55</v>
      </c>
    </row>
    <row r="475" customHeight="1" spans="1:24">
      <c r="A475" t="s">
        <v>538</v>
      </c>
      <c r="B475">
        <v>35</v>
      </c>
      <c r="C475">
        <v>29</v>
      </c>
      <c r="D475" t="s">
        <v>72</v>
      </c>
      <c r="E475" t="s">
        <v>61</v>
      </c>
      <c r="F475" t="s">
        <v>58</v>
      </c>
      <c r="G475">
        <v>409</v>
      </c>
      <c r="H475">
        <v>15.63</v>
      </c>
      <c r="I475">
        <v>73</v>
      </c>
      <c r="J475">
        <v>890.64</v>
      </c>
      <c r="K475">
        <v>0</v>
      </c>
      <c r="L475" t="s">
        <v>62</v>
      </c>
      <c r="M475">
        <v>0</v>
      </c>
      <c r="N475">
        <v>0</v>
      </c>
      <c r="O475">
        <v>20.9</v>
      </c>
      <c r="P475">
        <v>2</v>
      </c>
      <c r="Q475">
        <v>1</v>
      </c>
      <c r="R475">
        <v>0</v>
      </c>
      <c r="S475" t="s">
        <v>63</v>
      </c>
      <c r="T475">
        <v>0</v>
      </c>
      <c r="U475">
        <v>0</v>
      </c>
      <c r="V475">
        <v>0</v>
      </c>
      <c r="W475">
        <v>0</v>
      </c>
      <c r="X475" t="s">
        <v>58</v>
      </c>
    </row>
    <row r="476" customHeight="1" spans="1:24">
      <c r="A476" t="s">
        <v>539</v>
      </c>
      <c r="B476">
        <v>54</v>
      </c>
      <c r="C476">
        <v>64</v>
      </c>
      <c r="D476" t="s">
        <v>53</v>
      </c>
      <c r="E476" t="s">
        <v>76</v>
      </c>
      <c r="F476" t="s">
        <v>58</v>
      </c>
      <c r="G476">
        <v>421</v>
      </c>
      <c r="H476">
        <v>13.83</v>
      </c>
      <c r="I476">
        <v>128</v>
      </c>
      <c r="J476">
        <v>578.17</v>
      </c>
      <c r="K476">
        <v>0</v>
      </c>
      <c r="L476" t="s">
        <v>62</v>
      </c>
      <c r="M476">
        <v>0</v>
      </c>
      <c r="N476">
        <v>1</v>
      </c>
      <c r="O476">
        <v>27.7</v>
      </c>
      <c r="P476">
        <v>1</v>
      </c>
      <c r="Q476">
        <v>0</v>
      </c>
      <c r="R476">
        <v>0</v>
      </c>
      <c r="S476" t="s">
        <v>63</v>
      </c>
      <c r="T476">
        <v>0</v>
      </c>
      <c r="U476">
        <v>0</v>
      </c>
      <c r="V476">
        <v>0</v>
      </c>
      <c r="W476">
        <v>0</v>
      </c>
      <c r="X476" t="s">
        <v>58</v>
      </c>
    </row>
    <row r="477" customHeight="1" spans="1:24">
      <c r="A477" t="s">
        <v>540</v>
      </c>
      <c r="B477">
        <v>61</v>
      </c>
      <c r="C477">
        <v>36</v>
      </c>
      <c r="D477" t="s">
        <v>53</v>
      </c>
      <c r="E477" t="s">
        <v>69</v>
      </c>
      <c r="F477" t="s">
        <v>55</v>
      </c>
      <c r="G477">
        <v>468</v>
      </c>
      <c r="H477">
        <v>14.67</v>
      </c>
      <c r="I477">
        <v>161</v>
      </c>
      <c r="J477">
        <v>378.62</v>
      </c>
      <c r="K477">
        <v>0</v>
      </c>
      <c r="L477" t="s">
        <v>62</v>
      </c>
      <c r="M477">
        <v>0</v>
      </c>
      <c r="N477">
        <v>0</v>
      </c>
      <c r="O477">
        <v>8.5</v>
      </c>
      <c r="P477">
        <v>0</v>
      </c>
      <c r="Q477">
        <v>1</v>
      </c>
      <c r="R477">
        <v>1</v>
      </c>
      <c r="S477" t="s">
        <v>63</v>
      </c>
      <c r="T477">
        <v>0</v>
      </c>
      <c r="U477">
        <v>0</v>
      </c>
      <c r="V477">
        <v>0</v>
      </c>
      <c r="W477">
        <v>1</v>
      </c>
      <c r="X477" t="s">
        <v>55</v>
      </c>
    </row>
    <row r="478" customHeight="1" spans="1:24">
      <c r="A478" t="s">
        <v>541</v>
      </c>
      <c r="B478">
        <v>40</v>
      </c>
      <c r="C478">
        <v>10</v>
      </c>
      <c r="D478" t="s">
        <v>60</v>
      </c>
      <c r="E478" t="s">
        <v>69</v>
      </c>
      <c r="F478" t="s">
        <v>58</v>
      </c>
      <c r="G478">
        <v>356</v>
      </c>
      <c r="H478">
        <v>4.96</v>
      </c>
      <c r="I478">
        <v>279</v>
      </c>
      <c r="J478">
        <v>789.52</v>
      </c>
      <c r="K478">
        <v>1</v>
      </c>
      <c r="L478" t="s">
        <v>56</v>
      </c>
      <c r="M478">
        <v>0</v>
      </c>
      <c r="N478">
        <v>0</v>
      </c>
      <c r="O478">
        <v>10.7</v>
      </c>
      <c r="P478">
        <v>3</v>
      </c>
      <c r="Q478">
        <v>0</v>
      </c>
      <c r="R478">
        <v>0</v>
      </c>
      <c r="S478" t="s">
        <v>57</v>
      </c>
      <c r="T478">
        <v>0</v>
      </c>
      <c r="U478">
        <v>1</v>
      </c>
      <c r="V478">
        <v>1</v>
      </c>
      <c r="W478">
        <v>0</v>
      </c>
      <c r="X478" t="s">
        <v>58</v>
      </c>
    </row>
    <row r="479" customHeight="1" spans="1:24">
      <c r="A479" t="s">
        <v>542</v>
      </c>
      <c r="B479">
        <v>26</v>
      </c>
      <c r="C479">
        <v>62</v>
      </c>
      <c r="D479" t="s">
        <v>60</v>
      </c>
      <c r="E479" t="s">
        <v>61</v>
      </c>
      <c r="F479" t="s">
        <v>58</v>
      </c>
      <c r="G479">
        <v>364</v>
      </c>
      <c r="H479">
        <v>32.04</v>
      </c>
      <c r="I479">
        <v>119</v>
      </c>
      <c r="J479">
        <v>782.31</v>
      </c>
      <c r="K479">
        <v>0</v>
      </c>
      <c r="L479" t="s">
        <v>62</v>
      </c>
      <c r="M479">
        <v>1</v>
      </c>
      <c r="N479">
        <v>2</v>
      </c>
      <c r="O479">
        <v>20.4</v>
      </c>
      <c r="P479">
        <v>1</v>
      </c>
      <c r="Q479">
        <v>1</v>
      </c>
      <c r="R479">
        <v>0</v>
      </c>
      <c r="S479" t="s">
        <v>63</v>
      </c>
      <c r="T479">
        <v>1</v>
      </c>
      <c r="U479">
        <v>0</v>
      </c>
      <c r="V479">
        <v>0</v>
      </c>
      <c r="W479">
        <v>0</v>
      </c>
      <c r="X479" t="s">
        <v>58</v>
      </c>
    </row>
    <row r="480" customHeight="1" spans="1:24">
      <c r="A480" t="s">
        <v>543</v>
      </c>
      <c r="B480">
        <v>63</v>
      </c>
      <c r="C480">
        <v>24</v>
      </c>
      <c r="D480" t="s">
        <v>60</v>
      </c>
      <c r="E480" t="s">
        <v>61</v>
      </c>
      <c r="F480" t="s">
        <v>55</v>
      </c>
      <c r="G480">
        <v>656</v>
      </c>
      <c r="H480">
        <v>3.77</v>
      </c>
      <c r="I480">
        <v>198</v>
      </c>
      <c r="J480">
        <v>718.39</v>
      </c>
      <c r="K480">
        <v>0</v>
      </c>
      <c r="L480" t="s">
        <v>62</v>
      </c>
      <c r="M480">
        <v>3</v>
      </c>
      <c r="N480">
        <v>3</v>
      </c>
      <c r="O480">
        <v>22.3</v>
      </c>
      <c r="P480">
        <v>1</v>
      </c>
      <c r="Q480">
        <v>0</v>
      </c>
      <c r="R480">
        <v>2</v>
      </c>
      <c r="S480" t="s">
        <v>57</v>
      </c>
      <c r="T480">
        <v>1</v>
      </c>
      <c r="U480">
        <v>0</v>
      </c>
      <c r="V480">
        <v>1</v>
      </c>
      <c r="W480">
        <v>1</v>
      </c>
      <c r="X480" t="s">
        <v>55</v>
      </c>
    </row>
    <row r="481" customHeight="1" spans="1:24">
      <c r="A481" t="s">
        <v>544</v>
      </c>
      <c r="B481">
        <v>28</v>
      </c>
      <c r="C481">
        <v>68</v>
      </c>
      <c r="D481" t="s">
        <v>60</v>
      </c>
      <c r="E481" t="s">
        <v>61</v>
      </c>
      <c r="F481" t="s">
        <v>58</v>
      </c>
      <c r="G481">
        <v>807</v>
      </c>
      <c r="H481">
        <v>16</v>
      </c>
      <c r="I481">
        <v>62</v>
      </c>
      <c r="J481">
        <v>639.84</v>
      </c>
      <c r="K481">
        <v>0</v>
      </c>
      <c r="L481" t="s">
        <v>62</v>
      </c>
      <c r="M481">
        <v>1</v>
      </c>
      <c r="N481">
        <v>1</v>
      </c>
      <c r="O481">
        <v>10.5</v>
      </c>
      <c r="P481">
        <v>0</v>
      </c>
      <c r="Q481">
        <v>0</v>
      </c>
      <c r="R481">
        <v>2</v>
      </c>
      <c r="S481" t="s">
        <v>63</v>
      </c>
      <c r="T481">
        <v>1</v>
      </c>
      <c r="U481">
        <v>0</v>
      </c>
      <c r="V481">
        <v>0</v>
      </c>
      <c r="W481">
        <v>0</v>
      </c>
      <c r="X481" t="s">
        <v>58</v>
      </c>
    </row>
    <row r="482" customHeight="1" spans="1:24">
      <c r="A482" t="s">
        <v>545</v>
      </c>
      <c r="B482">
        <v>18</v>
      </c>
      <c r="C482">
        <v>27</v>
      </c>
      <c r="D482" t="s">
        <v>72</v>
      </c>
      <c r="E482" t="s">
        <v>76</v>
      </c>
      <c r="F482" t="s">
        <v>58</v>
      </c>
      <c r="G482">
        <v>219</v>
      </c>
      <c r="H482">
        <v>28.46</v>
      </c>
      <c r="I482">
        <v>3</v>
      </c>
      <c r="J482">
        <v>952.74</v>
      </c>
      <c r="K482">
        <v>0</v>
      </c>
      <c r="L482" t="s">
        <v>62</v>
      </c>
      <c r="M482">
        <v>2</v>
      </c>
      <c r="N482">
        <v>3</v>
      </c>
      <c r="O482">
        <v>33.5</v>
      </c>
      <c r="P482">
        <v>2</v>
      </c>
      <c r="Q482">
        <v>2</v>
      </c>
      <c r="R482">
        <v>0</v>
      </c>
      <c r="S482" t="s">
        <v>63</v>
      </c>
      <c r="T482">
        <v>1</v>
      </c>
      <c r="U482">
        <v>0</v>
      </c>
      <c r="V482">
        <v>0</v>
      </c>
      <c r="W482">
        <v>0</v>
      </c>
      <c r="X482" t="s">
        <v>58</v>
      </c>
    </row>
    <row r="483" customHeight="1" spans="1:24">
      <c r="A483" t="s">
        <v>546</v>
      </c>
      <c r="B483">
        <v>36</v>
      </c>
      <c r="C483">
        <v>63</v>
      </c>
      <c r="D483" t="s">
        <v>60</v>
      </c>
      <c r="E483" t="s">
        <v>54</v>
      </c>
      <c r="F483" t="s">
        <v>58</v>
      </c>
      <c r="G483">
        <v>211</v>
      </c>
      <c r="H483">
        <v>17.7</v>
      </c>
      <c r="I483">
        <v>95</v>
      </c>
      <c r="J483">
        <v>751.25</v>
      </c>
      <c r="K483">
        <v>0</v>
      </c>
      <c r="L483" t="s">
        <v>62</v>
      </c>
      <c r="M483">
        <v>1</v>
      </c>
      <c r="N483">
        <v>1</v>
      </c>
      <c r="O483">
        <v>19</v>
      </c>
      <c r="P483">
        <v>1</v>
      </c>
      <c r="Q483">
        <v>1</v>
      </c>
      <c r="R483">
        <v>0</v>
      </c>
      <c r="S483" t="s">
        <v>63</v>
      </c>
      <c r="T483">
        <v>1</v>
      </c>
      <c r="U483">
        <v>0</v>
      </c>
      <c r="V483">
        <v>0</v>
      </c>
      <c r="W483">
        <v>0</v>
      </c>
      <c r="X483" t="s">
        <v>58</v>
      </c>
    </row>
    <row r="484" customHeight="1" spans="1:24">
      <c r="A484" t="s">
        <v>547</v>
      </c>
      <c r="B484">
        <v>65</v>
      </c>
      <c r="C484">
        <v>39</v>
      </c>
      <c r="D484" t="s">
        <v>60</v>
      </c>
      <c r="E484" t="s">
        <v>61</v>
      </c>
      <c r="F484" t="s">
        <v>58</v>
      </c>
      <c r="G484">
        <v>256</v>
      </c>
      <c r="H484">
        <v>8.21</v>
      </c>
      <c r="I484">
        <v>8</v>
      </c>
      <c r="J484">
        <v>838.84</v>
      </c>
      <c r="K484">
        <v>0</v>
      </c>
      <c r="L484" t="s">
        <v>62</v>
      </c>
      <c r="M484">
        <v>0</v>
      </c>
      <c r="N484">
        <v>0</v>
      </c>
      <c r="O484">
        <v>23.7</v>
      </c>
      <c r="P484">
        <v>2</v>
      </c>
      <c r="Q484">
        <v>1</v>
      </c>
      <c r="R484">
        <v>1</v>
      </c>
      <c r="S484" t="s">
        <v>63</v>
      </c>
      <c r="T484">
        <v>0</v>
      </c>
      <c r="U484">
        <v>0</v>
      </c>
      <c r="V484">
        <v>0</v>
      </c>
      <c r="W484">
        <v>0</v>
      </c>
      <c r="X484" t="s">
        <v>58</v>
      </c>
    </row>
    <row r="485" customHeight="1" spans="1:24">
      <c r="A485" t="s">
        <v>548</v>
      </c>
      <c r="B485">
        <v>61</v>
      </c>
      <c r="C485">
        <v>34</v>
      </c>
      <c r="D485" t="s">
        <v>60</v>
      </c>
      <c r="E485" t="s">
        <v>61</v>
      </c>
      <c r="F485" t="s">
        <v>58</v>
      </c>
      <c r="G485">
        <v>385</v>
      </c>
      <c r="H485">
        <v>4.51</v>
      </c>
      <c r="I485">
        <v>121</v>
      </c>
      <c r="J485">
        <v>829.01</v>
      </c>
      <c r="K485">
        <v>1</v>
      </c>
      <c r="L485" t="s">
        <v>56</v>
      </c>
      <c r="M485">
        <v>1</v>
      </c>
      <c r="N485">
        <v>3</v>
      </c>
      <c r="O485">
        <v>27.4</v>
      </c>
      <c r="P485">
        <v>1</v>
      </c>
      <c r="Q485">
        <v>2</v>
      </c>
      <c r="R485">
        <v>0</v>
      </c>
      <c r="S485" t="s">
        <v>63</v>
      </c>
      <c r="T485">
        <v>1</v>
      </c>
      <c r="U485">
        <v>1</v>
      </c>
      <c r="V485">
        <v>1</v>
      </c>
      <c r="W485">
        <v>0</v>
      </c>
      <c r="X485" t="s">
        <v>58</v>
      </c>
    </row>
    <row r="486" customHeight="1" spans="1:24">
      <c r="A486" t="s">
        <v>549</v>
      </c>
      <c r="B486">
        <v>35</v>
      </c>
      <c r="C486">
        <v>22</v>
      </c>
      <c r="D486" t="s">
        <v>53</v>
      </c>
      <c r="E486" t="s">
        <v>61</v>
      </c>
      <c r="F486" t="s">
        <v>58</v>
      </c>
      <c r="G486">
        <v>534</v>
      </c>
      <c r="H486">
        <v>15.7</v>
      </c>
      <c r="I486">
        <v>65</v>
      </c>
      <c r="J486">
        <v>469.38</v>
      </c>
      <c r="K486">
        <v>0</v>
      </c>
      <c r="L486" t="s">
        <v>62</v>
      </c>
      <c r="M486">
        <v>0</v>
      </c>
      <c r="N486">
        <v>0</v>
      </c>
      <c r="O486">
        <v>23.7</v>
      </c>
      <c r="P486">
        <v>1</v>
      </c>
      <c r="Q486">
        <v>1</v>
      </c>
      <c r="R486">
        <v>0</v>
      </c>
      <c r="S486" t="s">
        <v>57</v>
      </c>
      <c r="T486">
        <v>0</v>
      </c>
      <c r="U486">
        <v>0</v>
      </c>
      <c r="V486">
        <v>0</v>
      </c>
      <c r="W486">
        <v>0</v>
      </c>
      <c r="X486" t="s">
        <v>58</v>
      </c>
    </row>
    <row r="487" customHeight="1" spans="1:24">
      <c r="A487" t="s">
        <v>550</v>
      </c>
      <c r="B487">
        <v>48</v>
      </c>
      <c r="C487">
        <v>61</v>
      </c>
      <c r="D487" t="s">
        <v>60</v>
      </c>
      <c r="E487" t="s">
        <v>76</v>
      </c>
      <c r="F487" t="s">
        <v>58</v>
      </c>
      <c r="G487">
        <v>489</v>
      </c>
      <c r="H487">
        <v>10.43</v>
      </c>
      <c r="I487">
        <v>0</v>
      </c>
      <c r="J487">
        <v>606.58</v>
      </c>
      <c r="K487">
        <v>0</v>
      </c>
      <c r="L487" t="s">
        <v>62</v>
      </c>
      <c r="M487">
        <v>0</v>
      </c>
      <c r="N487">
        <v>1</v>
      </c>
      <c r="O487">
        <v>34</v>
      </c>
      <c r="P487">
        <v>2</v>
      </c>
      <c r="Q487">
        <v>0</v>
      </c>
      <c r="R487">
        <v>0</v>
      </c>
      <c r="S487" t="s">
        <v>63</v>
      </c>
      <c r="T487">
        <v>0</v>
      </c>
      <c r="U487">
        <v>0</v>
      </c>
      <c r="V487">
        <v>0</v>
      </c>
      <c r="W487">
        <v>0</v>
      </c>
      <c r="X487" t="s">
        <v>58</v>
      </c>
    </row>
    <row r="488" customHeight="1" spans="1:24">
      <c r="A488" t="s">
        <v>551</v>
      </c>
      <c r="B488">
        <v>73</v>
      </c>
      <c r="C488">
        <v>5</v>
      </c>
      <c r="D488" t="s">
        <v>53</v>
      </c>
      <c r="E488" t="s">
        <v>61</v>
      </c>
      <c r="F488" t="s">
        <v>55</v>
      </c>
      <c r="G488">
        <v>426</v>
      </c>
      <c r="H488">
        <v>20.05</v>
      </c>
      <c r="I488">
        <v>242</v>
      </c>
      <c r="J488">
        <v>428.19</v>
      </c>
      <c r="K488">
        <v>0</v>
      </c>
      <c r="L488" t="s">
        <v>62</v>
      </c>
      <c r="M488">
        <v>0</v>
      </c>
      <c r="N488">
        <v>1</v>
      </c>
      <c r="O488">
        <v>12.8</v>
      </c>
      <c r="P488">
        <v>1</v>
      </c>
      <c r="Q488">
        <v>2</v>
      </c>
      <c r="R488">
        <v>0</v>
      </c>
      <c r="S488" t="s">
        <v>66</v>
      </c>
      <c r="T488">
        <v>0</v>
      </c>
      <c r="U488">
        <v>0</v>
      </c>
      <c r="V488">
        <v>0</v>
      </c>
      <c r="W488">
        <v>1</v>
      </c>
      <c r="X488" t="s">
        <v>55</v>
      </c>
    </row>
    <row r="489" customHeight="1" spans="1:24">
      <c r="A489" t="s">
        <v>552</v>
      </c>
      <c r="B489">
        <v>59</v>
      </c>
      <c r="C489">
        <v>34</v>
      </c>
      <c r="D489" t="s">
        <v>60</v>
      </c>
      <c r="E489" t="s">
        <v>69</v>
      </c>
      <c r="F489" t="s">
        <v>58</v>
      </c>
      <c r="G489">
        <v>479</v>
      </c>
      <c r="H489">
        <v>3.99</v>
      </c>
      <c r="I489">
        <v>82</v>
      </c>
      <c r="J489">
        <v>644.37</v>
      </c>
      <c r="K489">
        <v>1</v>
      </c>
      <c r="L489" t="s">
        <v>56</v>
      </c>
      <c r="M489">
        <v>2</v>
      </c>
      <c r="N489">
        <v>4</v>
      </c>
      <c r="O489">
        <v>7.2</v>
      </c>
      <c r="P489">
        <v>2</v>
      </c>
      <c r="Q489">
        <v>0</v>
      </c>
      <c r="R489">
        <v>0</v>
      </c>
      <c r="S489" t="s">
        <v>63</v>
      </c>
      <c r="T489">
        <v>1</v>
      </c>
      <c r="U489">
        <v>1</v>
      </c>
      <c r="V489">
        <v>1</v>
      </c>
      <c r="W489">
        <v>0</v>
      </c>
      <c r="X489" t="s">
        <v>58</v>
      </c>
    </row>
    <row r="490" customHeight="1" spans="1:24">
      <c r="A490" t="s">
        <v>553</v>
      </c>
      <c r="B490">
        <v>62</v>
      </c>
      <c r="C490">
        <v>27</v>
      </c>
      <c r="D490" t="s">
        <v>53</v>
      </c>
      <c r="E490" t="s">
        <v>61</v>
      </c>
      <c r="F490" t="s">
        <v>55</v>
      </c>
      <c r="G490">
        <v>296</v>
      </c>
      <c r="H490">
        <v>26.13</v>
      </c>
      <c r="I490">
        <v>5</v>
      </c>
      <c r="J490">
        <v>510.88</v>
      </c>
      <c r="K490">
        <v>0</v>
      </c>
      <c r="L490" t="s">
        <v>62</v>
      </c>
      <c r="M490">
        <v>0</v>
      </c>
      <c r="N490">
        <v>2</v>
      </c>
      <c r="O490">
        <v>20.3</v>
      </c>
      <c r="P490">
        <v>2</v>
      </c>
      <c r="Q490">
        <v>1</v>
      </c>
      <c r="R490">
        <v>0</v>
      </c>
      <c r="S490" t="s">
        <v>63</v>
      </c>
      <c r="T490">
        <v>0</v>
      </c>
      <c r="U490">
        <v>0</v>
      </c>
      <c r="V490">
        <v>0</v>
      </c>
      <c r="W490">
        <v>1</v>
      </c>
      <c r="X490" t="s">
        <v>58</v>
      </c>
    </row>
    <row r="491" customHeight="1" spans="1:24">
      <c r="A491" t="s">
        <v>554</v>
      </c>
      <c r="B491">
        <v>23</v>
      </c>
      <c r="C491">
        <v>40</v>
      </c>
      <c r="D491" t="s">
        <v>72</v>
      </c>
      <c r="E491" t="s">
        <v>76</v>
      </c>
      <c r="F491" t="s">
        <v>55</v>
      </c>
      <c r="G491">
        <v>363</v>
      </c>
      <c r="H491">
        <v>19.16</v>
      </c>
      <c r="I491">
        <v>183</v>
      </c>
      <c r="J491">
        <v>1409.71</v>
      </c>
      <c r="K491">
        <v>1</v>
      </c>
      <c r="L491" t="s">
        <v>56</v>
      </c>
      <c r="M491">
        <v>0</v>
      </c>
      <c r="N491">
        <v>1</v>
      </c>
      <c r="O491">
        <v>24.7</v>
      </c>
      <c r="P491">
        <v>0</v>
      </c>
      <c r="Q491">
        <v>0</v>
      </c>
      <c r="R491">
        <v>1</v>
      </c>
      <c r="S491" t="s">
        <v>63</v>
      </c>
      <c r="T491">
        <v>0</v>
      </c>
      <c r="U491">
        <v>1</v>
      </c>
      <c r="V491">
        <v>0</v>
      </c>
      <c r="W491">
        <v>1</v>
      </c>
      <c r="X491" t="s">
        <v>55</v>
      </c>
    </row>
    <row r="492" customHeight="1" spans="1:24">
      <c r="A492" t="s">
        <v>555</v>
      </c>
      <c r="B492">
        <v>31</v>
      </c>
      <c r="C492">
        <v>19</v>
      </c>
      <c r="D492" t="s">
        <v>60</v>
      </c>
      <c r="E492" t="s">
        <v>61</v>
      </c>
      <c r="F492" t="s">
        <v>55</v>
      </c>
      <c r="G492">
        <v>397</v>
      </c>
      <c r="H492">
        <v>19.9</v>
      </c>
      <c r="I492">
        <v>69</v>
      </c>
      <c r="J492">
        <v>859.92</v>
      </c>
      <c r="K492">
        <v>0</v>
      </c>
      <c r="L492" t="s">
        <v>62</v>
      </c>
      <c r="M492">
        <v>2</v>
      </c>
      <c r="N492">
        <v>3</v>
      </c>
      <c r="O492">
        <v>9.1</v>
      </c>
      <c r="P492">
        <v>0</v>
      </c>
      <c r="Q492">
        <v>1</v>
      </c>
      <c r="R492">
        <v>0</v>
      </c>
      <c r="S492" t="s">
        <v>57</v>
      </c>
      <c r="T492">
        <v>1</v>
      </c>
      <c r="U492">
        <v>0</v>
      </c>
      <c r="V492">
        <v>0</v>
      </c>
      <c r="W492">
        <v>1</v>
      </c>
      <c r="X492" t="s">
        <v>55</v>
      </c>
    </row>
    <row r="493" customHeight="1" spans="1:24">
      <c r="A493" t="s">
        <v>556</v>
      </c>
      <c r="B493">
        <v>24</v>
      </c>
      <c r="C493">
        <v>48</v>
      </c>
      <c r="D493" t="s">
        <v>72</v>
      </c>
      <c r="E493" t="s">
        <v>76</v>
      </c>
      <c r="F493" t="s">
        <v>55</v>
      </c>
      <c r="G493">
        <v>162</v>
      </c>
      <c r="H493">
        <v>32.41</v>
      </c>
      <c r="I493">
        <v>196</v>
      </c>
      <c r="J493">
        <v>1092.12</v>
      </c>
      <c r="K493">
        <v>1</v>
      </c>
      <c r="L493" t="s">
        <v>56</v>
      </c>
      <c r="M493">
        <v>0</v>
      </c>
      <c r="N493">
        <v>3</v>
      </c>
      <c r="O493">
        <v>7.3</v>
      </c>
      <c r="P493">
        <v>1</v>
      </c>
      <c r="Q493">
        <v>0</v>
      </c>
      <c r="R493">
        <v>0</v>
      </c>
      <c r="S493" t="s">
        <v>63</v>
      </c>
      <c r="T493">
        <v>0</v>
      </c>
      <c r="U493">
        <v>1</v>
      </c>
      <c r="V493">
        <v>0</v>
      </c>
      <c r="W493">
        <v>1</v>
      </c>
      <c r="X493" t="s">
        <v>58</v>
      </c>
    </row>
    <row r="494" customHeight="1" spans="1:24">
      <c r="A494" t="s">
        <v>557</v>
      </c>
      <c r="B494">
        <v>74</v>
      </c>
      <c r="C494">
        <v>28</v>
      </c>
      <c r="D494" t="s">
        <v>60</v>
      </c>
      <c r="E494" t="s">
        <v>76</v>
      </c>
      <c r="F494" t="s">
        <v>58</v>
      </c>
      <c r="G494">
        <v>226</v>
      </c>
      <c r="H494">
        <v>13.62</v>
      </c>
      <c r="I494">
        <v>69</v>
      </c>
      <c r="J494">
        <v>770.86</v>
      </c>
      <c r="K494">
        <v>0</v>
      </c>
      <c r="L494" t="s">
        <v>62</v>
      </c>
      <c r="M494">
        <v>0</v>
      </c>
      <c r="N494">
        <v>1</v>
      </c>
      <c r="O494">
        <v>26.2</v>
      </c>
      <c r="P494">
        <v>1</v>
      </c>
      <c r="Q494">
        <v>0</v>
      </c>
      <c r="R494">
        <v>0</v>
      </c>
      <c r="S494" t="s">
        <v>63</v>
      </c>
      <c r="T494">
        <v>0</v>
      </c>
      <c r="U494">
        <v>0</v>
      </c>
      <c r="V494">
        <v>0</v>
      </c>
      <c r="W494">
        <v>0</v>
      </c>
      <c r="X494" t="s">
        <v>58</v>
      </c>
    </row>
    <row r="495" customHeight="1" spans="1:24">
      <c r="A495" t="s">
        <v>558</v>
      </c>
      <c r="B495">
        <v>37</v>
      </c>
      <c r="C495">
        <v>14</v>
      </c>
      <c r="D495" t="s">
        <v>53</v>
      </c>
      <c r="E495" t="s">
        <v>54</v>
      </c>
      <c r="F495" t="s">
        <v>55</v>
      </c>
      <c r="G495">
        <v>232</v>
      </c>
      <c r="H495">
        <v>10.74</v>
      </c>
      <c r="I495">
        <v>82</v>
      </c>
      <c r="J495">
        <v>326.31</v>
      </c>
      <c r="K495">
        <v>2</v>
      </c>
      <c r="L495" t="s">
        <v>56</v>
      </c>
      <c r="M495">
        <v>1</v>
      </c>
      <c r="N495">
        <v>1</v>
      </c>
      <c r="O495">
        <v>14.9</v>
      </c>
      <c r="P495">
        <v>1</v>
      </c>
      <c r="Q495">
        <v>1</v>
      </c>
      <c r="R495">
        <v>1</v>
      </c>
      <c r="S495" t="s">
        <v>57</v>
      </c>
      <c r="T495">
        <v>1</v>
      </c>
      <c r="U495">
        <v>1</v>
      </c>
      <c r="V495">
        <v>0</v>
      </c>
      <c r="W495">
        <v>1</v>
      </c>
      <c r="X495" t="s">
        <v>58</v>
      </c>
    </row>
    <row r="496" customHeight="1" spans="1:24">
      <c r="A496" t="s">
        <v>559</v>
      </c>
      <c r="B496">
        <v>46</v>
      </c>
      <c r="C496">
        <v>15</v>
      </c>
      <c r="D496" t="s">
        <v>72</v>
      </c>
      <c r="E496" t="s">
        <v>54</v>
      </c>
      <c r="F496" t="s">
        <v>58</v>
      </c>
      <c r="G496">
        <v>515</v>
      </c>
      <c r="H496">
        <v>12.52</v>
      </c>
      <c r="I496">
        <v>144</v>
      </c>
      <c r="J496">
        <v>899.34</v>
      </c>
      <c r="K496">
        <v>0</v>
      </c>
      <c r="L496" t="s">
        <v>62</v>
      </c>
      <c r="M496">
        <v>0</v>
      </c>
      <c r="N496">
        <v>0</v>
      </c>
      <c r="O496">
        <v>6.6</v>
      </c>
      <c r="P496">
        <v>1</v>
      </c>
      <c r="Q496">
        <v>2</v>
      </c>
      <c r="R496">
        <v>2</v>
      </c>
      <c r="S496" t="s">
        <v>57</v>
      </c>
      <c r="T496">
        <v>0</v>
      </c>
      <c r="U496">
        <v>0</v>
      </c>
      <c r="V496">
        <v>0</v>
      </c>
      <c r="W496">
        <v>0</v>
      </c>
      <c r="X496" t="s">
        <v>58</v>
      </c>
    </row>
    <row r="497" customHeight="1" spans="1:24">
      <c r="A497" t="s">
        <v>560</v>
      </c>
      <c r="B497">
        <v>49</v>
      </c>
      <c r="C497">
        <v>51</v>
      </c>
      <c r="D497" t="s">
        <v>60</v>
      </c>
      <c r="E497" t="s">
        <v>54</v>
      </c>
      <c r="F497" t="s">
        <v>58</v>
      </c>
      <c r="G497">
        <v>437</v>
      </c>
      <c r="H497">
        <v>16.07</v>
      </c>
      <c r="I497">
        <v>162</v>
      </c>
      <c r="J497">
        <v>756.81</v>
      </c>
      <c r="K497">
        <v>0</v>
      </c>
      <c r="L497" t="s">
        <v>62</v>
      </c>
      <c r="M497">
        <v>3</v>
      </c>
      <c r="N497">
        <v>4</v>
      </c>
      <c r="O497">
        <v>35.6</v>
      </c>
      <c r="P497">
        <v>1</v>
      </c>
      <c r="Q497">
        <v>3</v>
      </c>
      <c r="R497">
        <v>1</v>
      </c>
      <c r="S497" t="s">
        <v>63</v>
      </c>
      <c r="T497">
        <v>1</v>
      </c>
      <c r="U497">
        <v>0</v>
      </c>
      <c r="V497">
        <v>0</v>
      </c>
      <c r="W497">
        <v>0</v>
      </c>
      <c r="X497" t="s">
        <v>58</v>
      </c>
    </row>
    <row r="498" customHeight="1" spans="1:24">
      <c r="A498" t="s">
        <v>561</v>
      </c>
      <c r="B498">
        <v>48</v>
      </c>
      <c r="C498">
        <v>19</v>
      </c>
      <c r="D498" t="s">
        <v>72</v>
      </c>
      <c r="E498" t="s">
        <v>61</v>
      </c>
      <c r="F498" t="s">
        <v>58</v>
      </c>
      <c r="G498">
        <v>492</v>
      </c>
      <c r="H498">
        <v>17.09</v>
      </c>
      <c r="I498">
        <v>174</v>
      </c>
      <c r="J498">
        <v>1006.96</v>
      </c>
      <c r="K498">
        <v>0</v>
      </c>
      <c r="L498" t="s">
        <v>62</v>
      </c>
      <c r="M498">
        <v>0</v>
      </c>
      <c r="N498">
        <v>1</v>
      </c>
      <c r="O498">
        <v>16.4</v>
      </c>
      <c r="P498">
        <v>1</v>
      </c>
      <c r="Q498">
        <v>0</v>
      </c>
      <c r="R498">
        <v>0</v>
      </c>
      <c r="S498" t="s">
        <v>57</v>
      </c>
      <c r="T498">
        <v>0</v>
      </c>
      <c r="U498">
        <v>0</v>
      </c>
      <c r="V498">
        <v>0</v>
      </c>
      <c r="W498">
        <v>0</v>
      </c>
      <c r="X498" t="s">
        <v>58</v>
      </c>
    </row>
    <row r="499" customHeight="1" spans="1:24">
      <c r="A499" t="s">
        <v>562</v>
      </c>
      <c r="B499">
        <v>21</v>
      </c>
      <c r="C499">
        <v>23</v>
      </c>
      <c r="D499" t="s">
        <v>60</v>
      </c>
      <c r="E499" t="s">
        <v>54</v>
      </c>
      <c r="F499" t="s">
        <v>55</v>
      </c>
      <c r="G499">
        <v>124</v>
      </c>
      <c r="H499">
        <v>9.69</v>
      </c>
      <c r="I499">
        <v>114</v>
      </c>
      <c r="J499">
        <v>761.52</v>
      </c>
      <c r="K499">
        <v>0</v>
      </c>
      <c r="L499" t="s">
        <v>62</v>
      </c>
      <c r="M499">
        <v>4</v>
      </c>
      <c r="N499">
        <v>5</v>
      </c>
      <c r="O499">
        <v>37.8</v>
      </c>
      <c r="P499">
        <v>1</v>
      </c>
      <c r="Q499">
        <v>3</v>
      </c>
      <c r="R499">
        <v>0</v>
      </c>
      <c r="S499" t="s">
        <v>57</v>
      </c>
      <c r="T499">
        <v>1</v>
      </c>
      <c r="U499">
        <v>0</v>
      </c>
      <c r="V499">
        <v>0</v>
      </c>
      <c r="W499">
        <v>1</v>
      </c>
      <c r="X499" t="s">
        <v>55</v>
      </c>
    </row>
    <row r="500" customHeight="1" spans="1:24">
      <c r="A500" t="s">
        <v>563</v>
      </c>
      <c r="B500">
        <v>70</v>
      </c>
      <c r="C500">
        <v>46</v>
      </c>
      <c r="D500" t="s">
        <v>60</v>
      </c>
      <c r="E500" t="s">
        <v>76</v>
      </c>
      <c r="F500" t="s">
        <v>58</v>
      </c>
      <c r="G500">
        <v>177</v>
      </c>
      <c r="H500">
        <v>0.5</v>
      </c>
      <c r="I500">
        <v>157</v>
      </c>
      <c r="J500">
        <v>719.57</v>
      </c>
      <c r="K500">
        <v>0</v>
      </c>
      <c r="L500" t="s">
        <v>62</v>
      </c>
      <c r="M500">
        <v>0</v>
      </c>
      <c r="N500">
        <v>2</v>
      </c>
      <c r="O500">
        <v>24.3</v>
      </c>
      <c r="P500">
        <v>1</v>
      </c>
      <c r="Q500">
        <v>0</v>
      </c>
      <c r="R500">
        <v>0</v>
      </c>
      <c r="S500" t="s">
        <v>63</v>
      </c>
      <c r="T500">
        <v>0</v>
      </c>
      <c r="U500">
        <v>0</v>
      </c>
      <c r="V500">
        <v>1</v>
      </c>
      <c r="W500">
        <v>0</v>
      </c>
      <c r="X500" t="s">
        <v>58</v>
      </c>
    </row>
    <row r="501" customHeight="1" spans="1:24">
      <c r="A501" t="s">
        <v>564</v>
      </c>
      <c r="B501">
        <v>40</v>
      </c>
      <c r="C501">
        <v>24</v>
      </c>
      <c r="D501" t="s">
        <v>72</v>
      </c>
      <c r="E501" t="s">
        <v>61</v>
      </c>
      <c r="F501" t="s">
        <v>55</v>
      </c>
      <c r="G501">
        <v>499</v>
      </c>
      <c r="H501">
        <v>12.39</v>
      </c>
      <c r="I501">
        <v>172</v>
      </c>
      <c r="J501">
        <v>1110.34</v>
      </c>
      <c r="K501">
        <v>1</v>
      </c>
      <c r="L501" t="s">
        <v>56</v>
      </c>
      <c r="M501">
        <v>0</v>
      </c>
      <c r="N501">
        <v>1</v>
      </c>
      <c r="O501">
        <v>27.5</v>
      </c>
      <c r="P501">
        <v>0</v>
      </c>
      <c r="Q501">
        <v>0</v>
      </c>
      <c r="R501">
        <v>1</v>
      </c>
      <c r="S501" t="s">
        <v>57</v>
      </c>
      <c r="T501">
        <v>0</v>
      </c>
      <c r="U501">
        <v>1</v>
      </c>
      <c r="V501">
        <v>0</v>
      </c>
      <c r="W501">
        <v>1</v>
      </c>
      <c r="X501" t="s">
        <v>55</v>
      </c>
    </row>
    <row r="502" customHeight="1" spans="1:24">
      <c r="A502" t="s">
        <v>565</v>
      </c>
      <c r="B502">
        <v>71</v>
      </c>
      <c r="C502">
        <v>28</v>
      </c>
      <c r="D502" t="s">
        <v>60</v>
      </c>
      <c r="E502" t="s">
        <v>76</v>
      </c>
      <c r="F502" t="s">
        <v>58</v>
      </c>
      <c r="G502">
        <v>20</v>
      </c>
      <c r="H502">
        <v>21.6</v>
      </c>
      <c r="I502">
        <v>134</v>
      </c>
      <c r="J502">
        <v>820.3</v>
      </c>
      <c r="K502">
        <v>1</v>
      </c>
      <c r="L502" t="s">
        <v>56</v>
      </c>
      <c r="M502">
        <v>1</v>
      </c>
      <c r="N502">
        <v>1</v>
      </c>
      <c r="O502">
        <v>21.5</v>
      </c>
      <c r="P502">
        <v>0</v>
      </c>
      <c r="Q502">
        <v>2</v>
      </c>
      <c r="R502">
        <v>0</v>
      </c>
      <c r="S502" t="s">
        <v>63</v>
      </c>
      <c r="T502">
        <v>1</v>
      </c>
      <c r="U502">
        <v>1</v>
      </c>
      <c r="V502">
        <v>0</v>
      </c>
      <c r="W502">
        <v>0</v>
      </c>
      <c r="X502" t="s">
        <v>58</v>
      </c>
    </row>
    <row r="503" customHeight="1" spans="1:24">
      <c r="A503" t="s">
        <v>566</v>
      </c>
      <c r="B503">
        <v>62</v>
      </c>
      <c r="C503">
        <v>18</v>
      </c>
      <c r="D503" t="s">
        <v>53</v>
      </c>
      <c r="E503" t="s">
        <v>61</v>
      </c>
      <c r="F503" t="s">
        <v>55</v>
      </c>
      <c r="G503">
        <v>584</v>
      </c>
      <c r="H503">
        <v>19.36</v>
      </c>
      <c r="I503">
        <v>110</v>
      </c>
      <c r="J503">
        <v>1643.8575</v>
      </c>
      <c r="K503">
        <v>1</v>
      </c>
      <c r="L503" t="s">
        <v>56</v>
      </c>
      <c r="M503">
        <v>4</v>
      </c>
      <c r="N503">
        <v>5</v>
      </c>
      <c r="O503">
        <v>1</v>
      </c>
      <c r="P503">
        <v>0</v>
      </c>
      <c r="Q503">
        <v>0</v>
      </c>
      <c r="R503">
        <v>0</v>
      </c>
      <c r="S503" t="s">
        <v>57</v>
      </c>
      <c r="T503">
        <v>1</v>
      </c>
      <c r="U503">
        <v>1</v>
      </c>
      <c r="V503">
        <v>0</v>
      </c>
      <c r="W503">
        <v>1</v>
      </c>
      <c r="X503" t="s">
        <v>55</v>
      </c>
    </row>
    <row r="504" customHeight="1" spans="1:24">
      <c r="A504" t="s">
        <v>567</v>
      </c>
      <c r="B504">
        <v>58</v>
      </c>
      <c r="C504">
        <v>25</v>
      </c>
      <c r="D504" t="s">
        <v>60</v>
      </c>
      <c r="E504" t="s">
        <v>76</v>
      </c>
      <c r="F504" t="s">
        <v>58</v>
      </c>
      <c r="G504">
        <v>127</v>
      </c>
      <c r="H504">
        <v>30</v>
      </c>
      <c r="I504">
        <v>19</v>
      </c>
      <c r="J504">
        <v>744.94</v>
      </c>
      <c r="K504">
        <v>1</v>
      </c>
      <c r="L504" t="s">
        <v>56</v>
      </c>
      <c r="M504">
        <v>0</v>
      </c>
      <c r="N504">
        <v>0</v>
      </c>
      <c r="O504">
        <v>10.4</v>
      </c>
      <c r="P504">
        <v>2</v>
      </c>
      <c r="Q504">
        <v>1</v>
      </c>
      <c r="R504">
        <v>0</v>
      </c>
      <c r="S504" t="s">
        <v>63</v>
      </c>
      <c r="T504">
        <v>0</v>
      </c>
      <c r="U504">
        <v>1</v>
      </c>
      <c r="V504">
        <v>0</v>
      </c>
      <c r="W504">
        <v>0</v>
      </c>
      <c r="X504" t="s">
        <v>58</v>
      </c>
    </row>
    <row r="505" customHeight="1" spans="1:24">
      <c r="A505" t="s">
        <v>568</v>
      </c>
      <c r="B505">
        <v>58</v>
      </c>
      <c r="C505">
        <v>50</v>
      </c>
      <c r="D505" t="s">
        <v>60</v>
      </c>
      <c r="E505" t="s">
        <v>54</v>
      </c>
      <c r="F505" t="s">
        <v>55</v>
      </c>
      <c r="G505">
        <v>527</v>
      </c>
      <c r="H505">
        <v>37.55</v>
      </c>
      <c r="I505">
        <v>162</v>
      </c>
      <c r="J505">
        <v>880.79</v>
      </c>
      <c r="K505">
        <v>2</v>
      </c>
      <c r="L505" t="s">
        <v>56</v>
      </c>
      <c r="M505">
        <v>1</v>
      </c>
      <c r="N505">
        <v>1</v>
      </c>
      <c r="O505">
        <v>22.5</v>
      </c>
      <c r="P505">
        <v>2</v>
      </c>
      <c r="Q505">
        <v>0</v>
      </c>
      <c r="R505">
        <v>1</v>
      </c>
      <c r="S505" t="s">
        <v>63</v>
      </c>
      <c r="T505">
        <v>1</v>
      </c>
      <c r="U505">
        <v>1</v>
      </c>
      <c r="V505">
        <v>0</v>
      </c>
      <c r="W505">
        <v>1</v>
      </c>
      <c r="X505" t="s">
        <v>55</v>
      </c>
    </row>
    <row r="506" customHeight="1" spans="1:24">
      <c r="A506" t="s">
        <v>569</v>
      </c>
      <c r="B506">
        <v>74</v>
      </c>
      <c r="C506">
        <v>39</v>
      </c>
      <c r="D506" t="s">
        <v>72</v>
      </c>
      <c r="E506" t="s">
        <v>65</v>
      </c>
      <c r="F506" t="s">
        <v>58</v>
      </c>
      <c r="G506">
        <v>267</v>
      </c>
      <c r="H506">
        <v>25.59</v>
      </c>
      <c r="I506">
        <v>123</v>
      </c>
      <c r="J506">
        <v>1203.17</v>
      </c>
      <c r="K506">
        <v>0</v>
      </c>
      <c r="L506" t="s">
        <v>62</v>
      </c>
      <c r="M506">
        <v>0</v>
      </c>
      <c r="N506">
        <v>0</v>
      </c>
      <c r="O506">
        <v>28.4</v>
      </c>
      <c r="P506">
        <v>2</v>
      </c>
      <c r="Q506">
        <v>1</v>
      </c>
      <c r="R506">
        <v>0</v>
      </c>
      <c r="S506" t="s">
        <v>63</v>
      </c>
      <c r="T506">
        <v>0</v>
      </c>
      <c r="U506">
        <v>0</v>
      </c>
      <c r="V506">
        <v>0</v>
      </c>
      <c r="W506">
        <v>0</v>
      </c>
      <c r="X506" t="s">
        <v>58</v>
      </c>
    </row>
    <row r="507" customHeight="1" spans="1:24">
      <c r="A507" t="s">
        <v>570</v>
      </c>
      <c r="B507">
        <v>35</v>
      </c>
      <c r="C507">
        <v>72</v>
      </c>
      <c r="D507" t="s">
        <v>60</v>
      </c>
      <c r="E507" t="s">
        <v>65</v>
      </c>
      <c r="F507" t="s">
        <v>58</v>
      </c>
      <c r="G507">
        <v>557</v>
      </c>
      <c r="H507">
        <v>31.83</v>
      </c>
      <c r="I507">
        <v>91</v>
      </c>
      <c r="J507">
        <v>744.45</v>
      </c>
      <c r="K507">
        <v>1</v>
      </c>
      <c r="L507" t="s">
        <v>56</v>
      </c>
      <c r="M507">
        <v>2</v>
      </c>
      <c r="N507">
        <v>2</v>
      </c>
      <c r="O507">
        <v>2.5</v>
      </c>
      <c r="P507">
        <v>1</v>
      </c>
      <c r="Q507">
        <v>1</v>
      </c>
      <c r="R507">
        <v>0</v>
      </c>
      <c r="S507" t="s">
        <v>63</v>
      </c>
      <c r="T507">
        <v>1</v>
      </c>
      <c r="U507">
        <v>1</v>
      </c>
      <c r="V507">
        <v>0</v>
      </c>
      <c r="W507">
        <v>0</v>
      </c>
      <c r="X507" t="s">
        <v>58</v>
      </c>
    </row>
    <row r="508" customHeight="1" spans="1:24">
      <c r="A508" t="s">
        <v>571</v>
      </c>
      <c r="B508">
        <v>37</v>
      </c>
      <c r="C508">
        <v>56</v>
      </c>
      <c r="D508" t="s">
        <v>60</v>
      </c>
      <c r="E508" t="s">
        <v>76</v>
      </c>
      <c r="F508" t="s">
        <v>55</v>
      </c>
      <c r="G508">
        <v>881</v>
      </c>
      <c r="H508">
        <v>25.67</v>
      </c>
      <c r="I508">
        <v>209</v>
      </c>
      <c r="J508">
        <v>745.99</v>
      </c>
      <c r="K508">
        <v>0</v>
      </c>
      <c r="L508" t="s">
        <v>62</v>
      </c>
      <c r="M508">
        <v>0</v>
      </c>
      <c r="N508">
        <v>0</v>
      </c>
      <c r="O508">
        <v>23.4</v>
      </c>
      <c r="P508">
        <v>3</v>
      </c>
      <c r="Q508">
        <v>0</v>
      </c>
      <c r="R508">
        <v>1</v>
      </c>
      <c r="S508" t="s">
        <v>63</v>
      </c>
      <c r="T508">
        <v>0</v>
      </c>
      <c r="U508">
        <v>0</v>
      </c>
      <c r="V508">
        <v>0</v>
      </c>
      <c r="W508">
        <v>1</v>
      </c>
      <c r="X508" t="s">
        <v>55</v>
      </c>
    </row>
    <row r="509" customHeight="1" spans="1:24">
      <c r="A509" t="s">
        <v>572</v>
      </c>
      <c r="B509">
        <v>56</v>
      </c>
      <c r="C509">
        <v>2</v>
      </c>
      <c r="D509" t="s">
        <v>72</v>
      </c>
      <c r="E509" t="s">
        <v>76</v>
      </c>
      <c r="F509" t="s">
        <v>55</v>
      </c>
      <c r="G509">
        <v>59</v>
      </c>
      <c r="H509">
        <v>35.1</v>
      </c>
      <c r="I509">
        <v>20</v>
      </c>
      <c r="J509">
        <v>1319.5</v>
      </c>
      <c r="K509">
        <v>0</v>
      </c>
      <c r="L509" t="s">
        <v>62</v>
      </c>
      <c r="M509">
        <v>1</v>
      </c>
      <c r="N509">
        <v>1</v>
      </c>
      <c r="O509">
        <v>10.5</v>
      </c>
      <c r="P509">
        <v>1</v>
      </c>
      <c r="Q509">
        <v>0</v>
      </c>
      <c r="R509">
        <v>0</v>
      </c>
      <c r="S509" t="s">
        <v>66</v>
      </c>
      <c r="T509">
        <v>1</v>
      </c>
      <c r="U509">
        <v>0</v>
      </c>
      <c r="V509">
        <v>0</v>
      </c>
      <c r="W509">
        <v>1</v>
      </c>
      <c r="X509" t="s">
        <v>55</v>
      </c>
    </row>
    <row r="510" customHeight="1" spans="1:24">
      <c r="A510" t="s">
        <v>573</v>
      </c>
      <c r="B510">
        <v>31</v>
      </c>
      <c r="C510">
        <v>28</v>
      </c>
      <c r="D510" t="s">
        <v>60</v>
      </c>
      <c r="E510" t="s">
        <v>54</v>
      </c>
      <c r="F510" t="s">
        <v>58</v>
      </c>
      <c r="G510">
        <v>504</v>
      </c>
      <c r="H510">
        <v>36.51</v>
      </c>
      <c r="I510">
        <v>235</v>
      </c>
      <c r="J510">
        <v>988.39</v>
      </c>
      <c r="K510">
        <v>0</v>
      </c>
      <c r="L510" t="s">
        <v>62</v>
      </c>
      <c r="M510">
        <v>1</v>
      </c>
      <c r="N510">
        <v>2</v>
      </c>
      <c r="O510">
        <v>26.8</v>
      </c>
      <c r="P510">
        <v>1</v>
      </c>
      <c r="Q510">
        <v>0</v>
      </c>
      <c r="R510">
        <v>0</v>
      </c>
      <c r="S510" t="s">
        <v>63</v>
      </c>
      <c r="T510">
        <v>1</v>
      </c>
      <c r="U510">
        <v>0</v>
      </c>
      <c r="V510">
        <v>0</v>
      </c>
      <c r="W510">
        <v>0</v>
      </c>
      <c r="X510" t="s">
        <v>58</v>
      </c>
    </row>
    <row r="511" customHeight="1" spans="1:24">
      <c r="A511" t="s">
        <v>574</v>
      </c>
      <c r="B511">
        <v>64</v>
      </c>
      <c r="C511">
        <v>21</v>
      </c>
      <c r="D511" t="s">
        <v>60</v>
      </c>
      <c r="E511" t="s">
        <v>61</v>
      </c>
      <c r="F511" t="s">
        <v>58</v>
      </c>
      <c r="G511">
        <v>129</v>
      </c>
      <c r="H511">
        <v>27.51</v>
      </c>
      <c r="I511">
        <v>118</v>
      </c>
      <c r="J511">
        <v>743.38</v>
      </c>
      <c r="K511">
        <v>0</v>
      </c>
      <c r="L511" t="s">
        <v>62</v>
      </c>
      <c r="M511">
        <v>1</v>
      </c>
      <c r="N511">
        <v>1</v>
      </c>
      <c r="O511">
        <v>23.8</v>
      </c>
      <c r="P511">
        <v>1</v>
      </c>
      <c r="Q511">
        <v>1</v>
      </c>
      <c r="R511">
        <v>0</v>
      </c>
      <c r="S511" t="s">
        <v>57</v>
      </c>
      <c r="T511">
        <v>1</v>
      </c>
      <c r="U511">
        <v>0</v>
      </c>
      <c r="V511">
        <v>0</v>
      </c>
      <c r="W511">
        <v>0</v>
      </c>
      <c r="X511" t="s">
        <v>58</v>
      </c>
    </row>
    <row r="512" customHeight="1" spans="1:24">
      <c r="A512" t="s">
        <v>575</v>
      </c>
      <c r="B512">
        <v>19</v>
      </c>
      <c r="C512">
        <v>43</v>
      </c>
      <c r="D512" t="s">
        <v>60</v>
      </c>
      <c r="E512" t="s">
        <v>117</v>
      </c>
      <c r="F512" t="s">
        <v>58</v>
      </c>
      <c r="G512">
        <v>464</v>
      </c>
      <c r="H512">
        <v>25.06</v>
      </c>
      <c r="I512">
        <v>142</v>
      </c>
      <c r="J512">
        <v>709.23</v>
      </c>
      <c r="K512">
        <v>0</v>
      </c>
      <c r="L512" t="s">
        <v>62</v>
      </c>
      <c r="M512">
        <v>1</v>
      </c>
      <c r="N512">
        <v>1</v>
      </c>
      <c r="O512">
        <v>32.9</v>
      </c>
      <c r="P512">
        <v>0</v>
      </c>
      <c r="Q512">
        <v>0</v>
      </c>
      <c r="R512">
        <v>0</v>
      </c>
      <c r="S512" t="s">
        <v>63</v>
      </c>
      <c r="T512">
        <v>1</v>
      </c>
      <c r="U512">
        <v>0</v>
      </c>
      <c r="V512">
        <v>0</v>
      </c>
      <c r="W512">
        <v>0</v>
      </c>
      <c r="X512" t="s">
        <v>58</v>
      </c>
    </row>
    <row r="513" customHeight="1" spans="1:24">
      <c r="A513" t="s">
        <v>576</v>
      </c>
      <c r="B513">
        <v>70</v>
      </c>
      <c r="C513">
        <v>20</v>
      </c>
      <c r="D513" t="s">
        <v>53</v>
      </c>
      <c r="E513" t="s">
        <v>76</v>
      </c>
      <c r="F513" t="s">
        <v>55</v>
      </c>
      <c r="G513">
        <v>369</v>
      </c>
      <c r="H513">
        <v>15.95</v>
      </c>
      <c r="I513">
        <v>92</v>
      </c>
      <c r="J513">
        <v>301.03</v>
      </c>
      <c r="K513">
        <v>1</v>
      </c>
      <c r="L513" t="s">
        <v>56</v>
      </c>
      <c r="M513">
        <v>1</v>
      </c>
      <c r="N513">
        <v>1</v>
      </c>
      <c r="O513">
        <v>36.8</v>
      </c>
      <c r="P513">
        <v>0</v>
      </c>
      <c r="Q513">
        <v>0</v>
      </c>
      <c r="R513">
        <v>0</v>
      </c>
      <c r="S513" t="s">
        <v>57</v>
      </c>
      <c r="T513">
        <v>1</v>
      </c>
      <c r="U513">
        <v>1</v>
      </c>
      <c r="V513">
        <v>0</v>
      </c>
      <c r="W513">
        <v>1</v>
      </c>
      <c r="X513" t="s">
        <v>55</v>
      </c>
    </row>
    <row r="514" customHeight="1" spans="1:24">
      <c r="A514" t="s">
        <v>577</v>
      </c>
      <c r="B514">
        <v>38</v>
      </c>
      <c r="C514">
        <v>70</v>
      </c>
      <c r="D514" t="s">
        <v>60</v>
      </c>
      <c r="E514" t="s">
        <v>69</v>
      </c>
      <c r="F514" t="s">
        <v>58</v>
      </c>
      <c r="G514">
        <v>419</v>
      </c>
      <c r="H514">
        <v>17.59</v>
      </c>
      <c r="I514">
        <v>3</v>
      </c>
      <c r="J514">
        <v>549.72</v>
      </c>
      <c r="K514">
        <v>0</v>
      </c>
      <c r="L514" t="s">
        <v>62</v>
      </c>
      <c r="M514">
        <v>0</v>
      </c>
      <c r="N514">
        <v>1</v>
      </c>
      <c r="O514">
        <v>29.5</v>
      </c>
      <c r="P514">
        <v>0</v>
      </c>
      <c r="Q514">
        <v>1</v>
      </c>
      <c r="R514">
        <v>0</v>
      </c>
      <c r="S514" t="s">
        <v>63</v>
      </c>
      <c r="T514">
        <v>0</v>
      </c>
      <c r="U514">
        <v>0</v>
      </c>
      <c r="V514">
        <v>0</v>
      </c>
      <c r="W514">
        <v>0</v>
      </c>
      <c r="X514" t="s">
        <v>58</v>
      </c>
    </row>
    <row r="515" customHeight="1" spans="1:24">
      <c r="A515" t="s">
        <v>578</v>
      </c>
      <c r="B515">
        <v>18</v>
      </c>
      <c r="C515">
        <v>22</v>
      </c>
      <c r="D515" t="s">
        <v>53</v>
      </c>
      <c r="E515" t="s">
        <v>69</v>
      </c>
      <c r="F515" t="s">
        <v>55</v>
      </c>
      <c r="G515">
        <v>263</v>
      </c>
      <c r="H515">
        <v>14.62</v>
      </c>
      <c r="I515">
        <v>110</v>
      </c>
      <c r="J515">
        <v>487.19</v>
      </c>
      <c r="K515">
        <v>2</v>
      </c>
      <c r="L515" t="s">
        <v>56</v>
      </c>
      <c r="M515">
        <v>0</v>
      </c>
      <c r="N515">
        <v>0</v>
      </c>
      <c r="O515">
        <v>34.3</v>
      </c>
      <c r="P515">
        <v>2</v>
      </c>
      <c r="Q515">
        <v>0</v>
      </c>
      <c r="R515">
        <v>1</v>
      </c>
      <c r="S515" t="s">
        <v>57</v>
      </c>
      <c r="T515">
        <v>0</v>
      </c>
      <c r="U515">
        <v>1</v>
      </c>
      <c r="V515">
        <v>0</v>
      </c>
      <c r="W515">
        <v>1</v>
      </c>
      <c r="X515" t="s">
        <v>58</v>
      </c>
    </row>
    <row r="516" customHeight="1" spans="1:24">
      <c r="A516" t="s">
        <v>579</v>
      </c>
      <c r="B516">
        <v>52</v>
      </c>
      <c r="C516">
        <v>38</v>
      </c>
      <c r="D516" t="s">
        <v>53</v>
      </c>
      <c r="E516" t="s">
        <v>54</v>
      </c>
      <c r="F516" t="s">
        <v>58</v>
      </c>
      <c r="G516">
        <v>517</v>
      </c>
      <c r="H516">
        <v>24.21</v>
      </c>
      <c r="I516">
        <v>143</v>
      </c>
      <c r="J516">
        <v>457.97</v>
      </c>
      <c r="K516">
        <v>0</v>
      </c>
      <c r="L516" t="s">
        <v>62</v>
      </c>
      <c r="M516">
        <v>1</v>
      </c>
      <c r="N516">
        <v>3</v>
      </c>
      <c r="O516">
        <v>19.8</v>
      </c>
      <c r="P516">
        <v>2</v>
      </c>
      <c r="Q516">
        <v>0</v>
      </c>
      <c r="R516">
        <v>0</v>
      </c>
      <c r="S516" t="s">
        <v>63</v>
      </c>
      <c r="T516">
        <v>1</v>
      </c>
      <c r="U516">
        <v>0</v>
      </c>
      <c r="V516">
        <v>0</v>
      </c>
      <c r="W516">
        <v>0</v>
      </c>
      <c r="X516" t="s">
        <v>58</v>
      </c>
    </row>
    <row r="517" customHeight="1" spans="1:24">
      <c r="A517" t="s">
        <v>580</v>
      </c>
      <c r="B517">
        <v>33</v>
      </c>
      <c r="C517">
        <v>9</v>
      </c>
      <c r="D517" t="s">
        <v>60</v>
      </c>
      <c r="E517" t="s">
        <v>69</v>
      </c>
      <c r="F517" t="s">
        <v>58</v>
      </c>
      <c r="G517">
        <v>183</v>
      </c>
      <c r="H517">
        <v>10.8</v>
      </c>
      <c r="I517">
        <v>167</v>
      </c>
      <c r="J517">
        <v>687.11</v>
      </c>
      <c r="K517">
        <v>0</v>
      </c>
      <c r="L517" t="s">
        <v>62</v>
      </c>
      <c r="M517">
        <v>0</v>
      </c>
      <c r="N517">
        <v>0</v>
      </c>
      <c r="O517">
        <v>57.9</v>
      </c>
      <c r="P517">
        <v>1</v>
      </c>
      <c r="Q517">
        <v>0</v>
      </c>
      <c r="R517">
        <v>0</v>
      </c>
      <c r="S517" t="s">
        <v>57</v>
      </c>
      <c r="T517">
        <v>0</v>
      </c>
      <c r="U517">
        <v>0</v>
      </c>
      <c r="V517">
        <v>0</v>
      </c>
      <c r="W517">
        <v>0</v>
      </c>
      <c r="X517" t="s">
        <v>58</v>
      </c>
    </row>
    <row r="518" customHeight="1" spans="1:24">
      <c r="A518" t="s">
        <v>581</v>
      </c>
      <c r="B518">
        <v>35</v>
      </c>
      <c r="C518">
        <v>66</v>
      </c>
      <c r="D518" t="s">
        <v>60</v>
      </c>
      <c r="E518" t="s">
        <v>61</v>
      </c>
      <c r="F518" t="s">
        <v>58</v>
      </c>
      <c r="G518">
        <v>586</v>
      </c>
      <c r="H518">
        <v>16.09</v>
      </c>
      <c r="I518">
        <v>106</v>
      </c>
      <c r="J518">
        <v>667.11</v>
      </c>
      <c r="K518">
        <v>1</v>
      </c>
      <c r="L518" t="s">
        <v>56</v>
      </c>
      <c r="M518">
        <v>0</v>
      </c>
      <c r="N518">
        <v>1</v>
      </c>
      <c r="O518">
        <v>9.4</v>
      </c>
      <c r="P518">
        <v>0</v>
      </c>
      <c r="Q518">
        <v>0</v>
      </c>
      <c r="R518">
        <v>0</v>
      </c>
      <c r="S518" t="s">
        <v>63</v>
      </c>
      <c r="T518">
        <v>0</v>
      </c>
      <c r="U518">
        <v>1</v>
      </c>
      <c r="V518">
        <v>0</v>
      </c>
      <c r="W518">
        <v>0</v>
      </c>
      <c r="X518" t="s">
        <v>58</v>
      </c>
    </row>
    <row r="519" customHeight="1" spans="1:24">
      <c r="A519" t="s">
        <v>582</v>
      </c>
      <c r="B519">
        <v>45</v>
      </c>
      <c r="C519">
        <v>66</v>
      </c>
      <c r="D519" t="s">
        <v>72</v>
      </c>
      <c r="E519" t="s">
        <v>61</v>
      </c>
      <c r="F519" t="s">
        <v>58</v>
      </c>
      <c r="G519">
        <v>339</v>
      </c>
      <c r="H519">
        <v>0.5</v>
      </c>
      <c r="I519">
        <v>0</v>
      </c>
      <c r="J519">
        <v>1050.5</v>
      </c>
      <c r="K519">
        <v>0</v>
      </c>
      <c r="L519" t="s">
        <v>62</v>
      </c>
      <c r="M519">
        <v>0</v>
      </c>
      <c r="N519">
        <v>1</v>
      </c>
      <c r="O519">
        <v>17.7</v>
      </c>
      <c r="P519">
        <v>2</v>
      </c>
      <c r="Q519">
        <v>0</v>
      </c>
      <c r="R519">
        <v>2</v>
      </c>
      <c r="S519" t="s">
        <v>63</v>
      </c>
      <c r="T519">
        <v>0</v>
      </c>
      <c r="U519">
        <v>0</v>
      </c>
      <c r="V519">
        <v>1</v>
      </c>
      <c r="W519">
        <v>0</v>
      </c>
      <c r="X519" t="s">
        <v>58</v>
      </c>
    </row>
    <row r="520" customHeight="1" spans="1:24">
      <c r="A520" t="s">
        <v>583</v>
      </c>
      <c r="B520">
        <v>51</v>
      </c>
      <c r="C520">
        <v>58</v>
      </c>
      <c r="D520" t="s">
        <v>53</v>
      </c>
      <c r="E520" t="s">
        <v>69</v>
      </c>
      <c r="F520" t="s">
        <v>58</v>
      </c>
      <c r="G520">
        <v>190</v>
      </c>
      <c r="H520">
        <v>17.41</v>
      </c>
      <c r="I520">
        <v>12</v>
      </c>
      <c r="J520">
        <v>448.08</v>
      </c>
      <c r="K520">
        <v>1</v>
      </c>
      <c r="L520" t="s">
        <v>56</v>
      </c>
      <c r="M520">
        <v>0</v>
      </c>
      <c r="N520">
        <v>1</v>
      </c>
      <c r="O520">
        <v>34.8</v>
      </c>
      <c r="P520">
        <v>1</v>
      </c>
      <c r="Q520">
        <v>1</v>
      </c>
      <c r="R520">
        <v>1</v>
      </c>
      <c r="S520" t="s">
        <v>63</v>
      </c>
      <c r="T520">
        <v>0</v>
      </c>
      <c r="U520">
        <v>1</v>
      </c>
      <c r="V520">
        <v>1</v>
      </c>
      <c r="W520">
        <v>0</v>
      </c>
      <c r="X520" t="s">
        <v>58</v>
      </c>
    </row>
    <row r="521" customHeight="1" spans="1:24">
      <c r="A521" t="s">
        <v>584</v>
      </c>
      <c r="B521">
        <v>25</v>
      </c>
      <c r="C521">
        <v>26</v>
      </c>
      <c r="D521" t="s">
        <v>53</v>
      </c>
      <c r="E521" t="s">
        <v>61</v>
      </c>
      <c r="F521" t="s">
        <v>55</v>
      </c>
      <c r="G521">
        <v>639</v>
      </c>
      <c r="H521">
        <v>15.8</v>
      </c>
      <c r="I521">
        <v>264</v>
      </c>
      <c r="J521">
        <v>471.31</v>
      </c>
      <c r="K521">
        <v>0</v>
      </c>
      <c r="L521" t="s">
        <v>62</v>
      </c>
      <c r="M521">
        <v>1</v>
      </c>
      <c r="N521">
        <v>1</v>
      </c>
      <c r="O521">
        <v>33</v>
      </c>
      <c r="P521">
        <v>1</v>
      </c>
      <c r="Q521">
        <v>0</v>
      </c>
      <c r="R521">
        <v>0</v>
      </c>
      <c r="S521" t="s">
        <v>63</v>
      </c>
      <c r="T521">
        <v>1</v>
      </c>
      <c r="U521">
        <v>0</v>
      </c>
      <c r="V521">
        <v>0</v>
      </c>
      <c r="W521">
        <v>1</v>
      </c>
      <c r="X521" t="s">
        <v>55</v>
      </c>
    </row>
    <row r="522" customHeight="1" spans="1:24">
      <c r="A522" t="s">
        <v>585</v>
      </c>
      <c r="B522">
        <v>20</v>
      </c>
      <c r="C522">
        <v>5</v>
      </c>
      <c r="D522" t="s">
        <v>72</v>
      </c>
      <c r="E522" t="s">
        <v>54</v>
      </c>
      <c r="F522" t="s">
        <v>55</v>
      </c>
      <c r="G522">
        <v>390</v>
      </c>
      <c r="H522">
        <v>22.56</v>
      </c>
      <c r="I522">
        <v>44</v>
      </c>
      <c r="J522">
        <v>1076.78</v>
      </c>
      <c r="K522">
        <v>2</v>
      </c>
      <c r="L522" t="s">
        <v>56</v>
      </c>
      <c r="M522">
        <v>0</v>
      </c>
      <c r="N522">
        <v>0</v>
      </c>
      <c r="O522">
        <v>23.7</v>
      </c>
      <c r="P522">
        <v>1</v>
      </c>
      <c r="Q522">
        <v>1</v>
      </c>
      <c r="R522">
        <v>1</v>
      </c>
      <c r="S522" t="s">
        <v>66</v>
      </c>
      <c r="T522">
        <v>0</v>
      </c>
      <c r="U522">
        <v>1</v>
      </c>
      <c r="V522">
        <v>0</v>
      </c>
      <c r="W522">
        <v>1</v>
      </c>
      <c r="X522" t="s">
        <v>55</v>
      </c>
    </row>
    <row r="523" customHeight="1" spans="1:24">
      <c r="A523" t="s">
        <v>586</v>
      </c>
      <c r="B523">
        <v>44</v>
      </c>
      <c r="C523">
        <v>52</v>
      </c>
      <c r="D523" t="s">
        <v>53</v>
      </c>
      <c r="E523" t="s">
        <v>69</v>
      </c>
      <c r="F523" t="s">
        <v>55</v>
      </c>
      <c r="G523">
        <v>686</v>
      </c>
      <c r="H523">
        <v>32.58</v>
      </c>
      <c r="I523">
        <v>220</v>
      </c>
      <c r="J523">
        <v>451.98</v>
      </c>
      <c r="K523">
        <v>1</v>
      </c>
      <c r="L523" t="s">
        <v>56</v>
      </c>
      <c r="M523">
        <v>1</v>
      </c>
      <c r="N523">
        <v>1</v>
      </c>
      <c r="O523">
        <v>32.1</v>
      </c>
      <c r="P523">
        <v>1</v>
      </c>
      <c r="Q523">
        <v>0</v>
      </c>
      <c r="R523">
        <v>0</v>
      </c>
      <c r="S523" t="s">
        <v>63</v>
      </c>
      <c r="T523">
        <v>1</v>
      </c>
      <c r="U523">
        <v>1</v>
      </c>
      <c r="V523">
        <v>0</v>
      </c>
      <c r="W523">
        <v>1</v>
      </c>
      <c r="X523" t="s">
        <v>55</v>
      </c>
    </row>
    <row r="524" customHeight="1" spans="1:24">
      <c r="A524" t="s">
        <v>587</v>
      </c>
      <c r="B524">
        <v>38</v>
      </c>
      <c r="C524">
        <v>31</v>
      </c>
      <c r="D524" t="s">
        <v>53</v>
      </c>
      <c r="E524" t="s">
        <v>54</v>
      </c>
      <c r="F524" t="s">
        <v>58</v>
      </c>
      <c r="G524">
        <v>583</v>
      </c>
      <c r="H524">
        <v>21</v>
      </c>
      <c r="I524">
        <v>55</v>
      </c>
      <c r="J524">
        <v>338</v>
      </c>
      <c r="K524">
        <v>0</v>
      </c>
      <c r="L524" t="s">
        <v>62</v>
      </c>
      <c r="M524">
        <v>2</v>
      </c>
      <c r="N524">
        <v>2</v>
      </c>
      <c r="O524">
        <v>1</v>
      </c>
      <c r="P524">
        <v>0</v>
      </c>
      <c r="Q524">
        <v>0</v>
      </c>
      <c r="R524">
        <v>0</v>
      </c>
      <c r="S524" t="s">
        <v>63</v>
      </c>
      <c r="T524">
        <v>1</v>
      </c>
      <c r="U524">
        <v>0</v>
      </c>
      <c r="V524">
        <v>0</v>
      </c>
      <c r="W524">
        <v>0</v>
      </c>
      <c r="X524" t="s">
        <v>58</v>
      </c>
    </row>
    <row r="525" customHeight="1" spans="1:24">
      <c r="A525" t="s">
        <v>588</v>
      </c>
      <c r="B525">
        <v>51</v>
      </c>
      <c r="C525">
        <v>72</v>
      </c>
      <c r="D525" t="s">
        <v>53</v>
      </c>
      <c r="E525" t="s">
        <v>65</v>
      </c>
      <c r="F525" t="s">
        <v>58</v>
      </c>
      <c r="G525">
        <v>280</v>
      </c>
      <c r="H525">
        <v>32.44</v>
      </c>
      <c r="I525">
        <v>107</v>
      </c>
      <c r="J525">
        <v>548.69</v>
      </c>
      <c r="K525">
        <v>0</v>
      </c>
      <c r="L525" t="s">
        <v>62</v>
      </c>
      <c r="M525">
        <v>0</v>
      </c>
      <c r="N525">
        <v>0</v>
      </c>
      <c r="O525">
        <v>23.7</v>
      </c>
      <c r="P525">
        <v>1</v>
      </c>
      <c r="Q525">
        <v>0</v>
      </c>
      <c r="R525">
        <v>0</v>
      </c>
      <c r="S525" t="s">
        <v>63</v>
      </c>
      <c r="T525">
        <v>0</v>
      </c>
      <c r="U525">
        <v>0</v>
      </c>
      <c r="V525">
        <v>0</v>
      </c>
      <c r="W525">
        <v>0</v>
      </c>
      <c r="X525" t="s">
        <v>58</v>
      </c>
    </row>
    <row r="526" customHeight="1" spans="1:24">
      <c r="A526" t="s">
        <v>589</v>
      </c>
      <c r="B526">
        <v>61</v>
      </c>
      <c r="C526">
        <v>51</v>
      </c>
      <c r="D526" t="s">
        <v>60</v>
      </c>
      <c r="E526" t="s">
        <v>61</v>
      </c>
      <c r="F526" t="s">
        <v>58</v>
      </c>
      <c r="G526">
        <v>387</v>
      </c>
      <c r="H526">
        <v>5.58</v>
      </c>
      <c r="I526">
        <v>164</v>
      </c>
      <c r="J526">
        <v>645.56</v>
      </c>
      <c r="K526">
        <v>1</v>
      </c>
      <c r="L526" t="s">
        <v>56</v>
      </c>
      <c r="M526">
        <v>2</v>
      </c>
      <c r="N526">
        <v>2</v>
      </c>
      <c r="O526">
        <v>21.6</v>
      </c>
      <c r="P526">
        <v>2</v>
      </c>
      <c r="Q526">
        <v>0</v>
      </c>
      <c r="R526">
        <v>1</v>
      </c>
      <c r="S526" t="s">
        <v>63</v>
      </c>
      <c r="T526">
        <v>1</v>
      </c>
      <c r="U526">
        <v>1</v>
      </c>
      <c r="V526">
        <v>0</v>
      </c>
      <c r="W526">
        <v>0</v>
      </c>
      <c r="X526" t="s">
        <v>58</v>
      </c>
    </row>
    <row r="527" customHeight="1" spans="1:24">
      <c r="A527" t="s">
        <v>590</v>
      </c>
      <c r="B527">
        <v>53</v>
      </c>
      <c r="C527">
        <v>39</v>
      </c>
      <c r="D527" t="s">
        <v>72</v>
      </c>
      <c r="E527" t="s">
        <v>69</v>
      </c>
      <c r="F527" t="s">
        <v>58</v>
      </c>
      <c r="G527">
        <v>418</v>
      </c>
      <c r="H527">
        <v>41.97</v>
      </c>
      <c r="I527">
        <v>63</v>
      </c>
      <c r="J527">
        <v>1100.12</v>
      </c>
      <c r="K527">
        <v>0</v>
      </c>
      <c r="L527" t="s">
        <v>62</v>
      </c>
      <c r="M527">
        <v>1</v>
      </c>
      <c r="N527">
        <v>1</v>
      </c>
      <c r="O527">
        <v>39</v>
      </c>
      <c r="P527">
        <v>2</v>
      </c>
      <c r="Q527">
        <v>1</v>
      </c>
      <c r="R527">
        <v>0</v>
      </c>
      <c r="S527" t="s">
        <v>63</v>
      </c>
      <c r="T527">
        <v>1</v>
      </c>
      <c r="U527">
        <v>0</v>
      </c>
      <c r="V527">
        <v>0</v>
      </c>
      <c r="W527">
        <v>0</v>
      </c>
      <c r="X527" t="s">
        <v>58</v>
      </c>
    </row>
    <row r="528" customHeight="1" spans="1:24">
      <c r="A528" t="s">
        <v>591</v>
      </c>
      <c r="B528">
        <v>24</v>
      </c>
      <c r="C528">
        <v>72</v>
      </c>
      <c r="D528" t="s">
        <v>72</v>
      </c>
      <c r="E528" t="s">
        <v>76</v>
      </c>
      <c r="F528" t="s">
        <v>55</v>
      </c>
      <c r="G528">
        <v>629</v>
      </c>
      <c r="H528">
        <v>28.87</v>
      </c>
      <c r="I528">
        <v>231</v>
      </c>
      <c r="J528">
        <v>1200.94</v>
      </c>
      <c r="K528">
        <v>0</v>
      </c>
      <c r="L528" t="s">
        <v>62</v>
      </c>
      <c r="M528">
        <v>2</v>
      </c>
      <c r="N528">
        <v>2</v>
      </c>
      <c r="O528">
        <v>1</v>
      </c>
      <c r="P528">
        <v>2</v>
      </c>
      <c r="Q528">
        <v>2</v>
      </c>
      <c r="R528">
        <v>1</v>
      </c>
      <c r="S528" t="s">
        <v>63</v>
      </c>
      <c r="T528">
        <v>1</v>
      </c>
      <c r="U528">
        <v>0</v>
      </c>
      <c r="V528">
        <v>0</v>
      </c>
      <c r="W528">
        <v>1</v>
      </c>
      <c r="X528" t="s">
        <v>55</v>
      </c>
    </row>
    <row r="529" customHeight="1" spans="1:24">
      <c r="A529" t="s">
        <v>592</v>
      </c>
      <c r="B529">
        <v>75</v>
      </c>
      <c r="C529">
        <v>58</v>
      </c>
      <c r="D529" t="s">
        <v>60</v>
      </c>
      <c r="E529" t="s">
        <v>69</v>
      </c>
      <c r="F529" t="s">
        <v>58</v>
      </c>
      <c r="G529">
        <v>466</v>
      </c>
      <c r="H529">
        <v>20.09</v>
      </c>
      <c r="I529">
        <v>125</v>
      </c>
      <c r="J529">
        <v>593.63</v>
      </c>
      <c r="K529">
        <v>1</v>
      </c>
      <c r="L529" t="s">
        <v>56</v>
      </c>
      <c r="M529">
        <v>3</v>
      </c>
      <c r="N529">
        <v>4</v>
      </c>
      <c r="O529">
        <v>27.1</v>
      </c>
      <c r="P529">
        <v>0</v>
      </c>
      <c r="Q529">
        <v>1</v>
      </c>
      <c r="R529">
        <v>0</v>
      </c>
      <c r="S529" t="s">
        <v>63</v>
      </c>
      <c r="T529">
        <v>1</v>
      </c>
      <c r="U529">
        <v>1</v>
      </c>
      <c r="V529">
        <v>0</v>
      </c>
      <c r="W529">
        <v>0</v>
      </c>
      <c r="X529" t="s">
        <v>58</v>
      </c>
    </row>
    <row r="530" customHeight="1" spans="1:24">
      <c r="A530" t="s">
        <v>593</v>
      </c>
      <c r="B530">
        <v>59</v>
      </c>
      <c r="C530">
        <v>34</v>
      </c>
      <c r="D530" t="s">
        <v>53</v>
      </c>
      <c r="E530" t="s">
        <v>61</v>
      </c>
      <c r="F530" t="s">
        <v>55</v>
      </c>
      <c r="G530">
        <v>426</v>
      </c>
      <c r="H530">
        <v>32.25</v>
      </c>
      <c r="I530">
        <v>152</v>
      </c>
      <c r="J530">
        <v>446.27</v>
      </c>
      <c r="K530">
        <v>0</v>
      </c>
      <c r="L530" t="s">
        <v>62</v>
      </c>
      <c r="M530">
        <v>2</v>
      </c>
      <c r="N530">
        <v>2</v>
      </c>
      <c r="O530">
        <v>17.2</v>
      </c>
      <c r="P530">
        <v>0</v>
      </c>
      <c r="Q530">
        <v>0</v>
      </c>
      <c r="R530">
        <v>0</v>
      </c>
      <c r="S530" t="s">
        <v>63</v>
      </c>
      <c r="T530">
        <v>1</v>
      </c>
      <c r="U530">
        <v>0</v>
      </c>
      <c r="V530">
        <v>0</v>
      </c>
      <c r="W530">
        <v>1</v>
      </c>
      <c r="X530" t="s">
        <v>55</v>
      </c>
    </row>
    <row r="531" customHeight="1" spans="1:24">
      <c r="A531" t="s">
        <v>594</v>
      </c>
      <c r="B531">
        <v>20</v>
      </c>
      <c r="C531">
        <v>2</v>
      </c>
      <c r="D531" t="s">
        <v>60</v>
      </c>
      <c r="E531" t="s">
        <v>65</v>
      </c>
      <c r="F531" t="s">
        <v>55</v>
      </c>
      <c r="G531">
        <v>370</v>
      </c>
      <c r="H531">
        <v>6.31</v>
      </c>
      <c r="I531">
        <v>101</v>
      </c>
      <c r="J531">
        <v>773.46</v>
      </c>
      <c r="K531">
        <v>0</v>
      </c>
      <c r="L531" t="s">
        <v>62</v>
      </c>
      <c r="M531">
        <v>0</v>
      </c>
      <c r="N531">
        <v>0</v>
      </c>
      <c r="O531">
        <v>23.7</v>
      </c>
      <c r="P531">
        <v>2</v>
      </c>
      <c r="Q531">
        <v>1</v>
      </c>
      <c r="R531">
        <v>0</v>
      </c>
      <c r="S531" t="s">
        <v>66</v>
      </c>
      <c r="T531">
        <v>0</v>
      </c>
      <c r="U531">
        <v>0</v>
      </c>
      <c r="V531">
        <v>0</v>
      </c>
      <c r="W531">
        <v>1</v>
      </c>
      <c r="X531" t="s">
        <v>55</v>
      </c>
    </row>
    <row r="532" customHeight="1" spans="1:24">
      <c r="A532" t="s">
        <v>595</v>
      </c>
      <c r="B532">
        <v>62</v>
      </c>
      <c r="C532">
        <v>7</v>
      </c>
      <c r="D532" t="s">
        <v>60</v>
      </c>
      <c r="E532" t="s">
        <v>65</v>
      </c>
      <c r="F532" t="s">
        <v>55</v>
      </c>
      <c r="G532">
        <v>392</v>
      </c>
      <c r="H532">
        <v>15.11</v>
      </c>
      <c r="I532">
        <v>166</v>
      </c>
      <c r="J532">
        <v>920.08</v>
      </c>
      <c r="K532">
        <v>0</v>
      </c>
      <c r="L532" t="s">
        <v>62</v>
      </c>
      <c r="M532">
        <v>1</v>
      </c>
      <c r="N532">
        <v>2</v>
      </c>
      <c r="O532">
        <v>27.8</v>
      </c>
      <c r="P532">
        <v>1</v>
      </c>
      <c r="Q532">
        <v>2</v>
      </c>
      <c r="R532">
        <v>0</v>
      </c>
      <c r="S532" t="s">
        <v>57</v>
      </c>
      <c r="T532">
        <v>1</v>
      </c>
      <c r="U532">
        <v>0</v>
      </c>
      <c r="V532">
        <v>0</v>
      </c>
      <c r="W532">
        <v>1</v>
      </c>
      <c r="X532" t="s">
        <v>55</v>
      </c>
    </row>
    <row r="533" customHeight="1" spans="1:24">
      <c r="A533" t="s">
        <v>596</v>
      </c>
      <c r="B533">
        <v>69</v>
      </c>
      <c r="C533">
        <v>32</v>
      </c>
      <c r="D533" t="s">
        <v>53</v>
      </c>
      <c r="E533" t="s">
        <v>54</v>
      </c>
      <c r="F533" t="s">
        <v>55</v>
      </c>
      <c r="G533">
        <v>596</v>
      </c>
      <c r="H533">
        <v>32.44</v>
      </c>
      <c r="I533">
        <v>231</v>
      </c>
      <c r="J533">
        <v>458.34</v>
      </c>
      <c r="K533">
        <v>2</v>
      </c>
      <c r="L533" t="s">
        <v>56</v>
      </c>
      <c r="M533">
        <v>2</v>
      </c>
      <c r="N533">
        <v>4</v>
      </c>
      <c r="O533">
        <v>28.4</v>
      </c>
      <c r="P533">
        <v>3</v>
      </c>
      <c r="Q533">
        <v>0</v>
      </c>
      <c r="R533">
        <v>0</v>
      </c>
      <c r="S533" t="s">
        <v>63</v>
      </c>
      <c r="T533">
        <v>1</v>
      </c>
      <c r="U533">
        <v>1</v>
      </c>
      <c r="V533">
        <v>0</v>
      </c>
      <c r="W533">
        <v>1</v>
      </c>
      <c r="X533" t="s">
        <v>58</v>
      </c>
    </row>
    <row r="534" customHeight="1" spans="1:24">
      <c r="A534" t="s">
        <v>597</v>
      </c>
      <c r="B534">
        <v>50</v>
      </c>
      <c r="C534">
        <v>41</v>
      </c>
      <c r="D534" t="s">
        <v>53</v>
      </c>
      <c r="E534" t="s">
        <v>61</v>
      </c>
      <c r="F534" t="s">
        <v>58</v>
      </c>
      <c r="G534">
        <v>401</v>
      </c>
      <c r="H534">
        <v>0.5</v>
      </c>
      <c r="I534">
        <v>111</v>
      </c>
      <c r="J534">
        <v>472.26</v>
      </c>
      <c r="K534">
        <v>0</v>
      </c>
      <c r="L534" t="s">
        <v>62</v>
      </c>
      <c r="M534">
        <v>0</v>
      </c>
      <c r="N534">
        <v>0</v>
      </c>
      <c r="O534">
        <v>11.3</v>
      </c>
      <c r="P534">
        <v>0</v>
      </c>
      <c r="Q534">
        <v>1</v>
      </c>
      <c r="R534">
        <v>0</v>
      </c>
      <c r="S534" t="s">
        <v>63</v>
      </c>
      <c r="T534">
        <v>0</v>
      </c>
      <c r="U534">
        <v>0</v>
      </c>
      <c r="V534">
        <v>1</v>
      </c>
      <c r="W534">
        <v>0</v>
      </c>
      <c r="X534" t="s">
        <v>58</v>
      </c>
    </row>
    <row r="535" customHeight="1" spans="1:24">
      <c r="A535" t="s">
        <v>598</v>
      </c>
      <c r="B535">
        <v>66</v>
      </c>
      <c r="C535">
        <v>3</v>
      </c>
      <c r="D535" t="s">
        <v>53</v>
      </c>
      <c r="E535" t="s">
        <v>54</v>
      </c>
      <c r="F535" t="s">
        <v>55</v>
      </c>
      <c r="G535">
        <v>341</v>
      </c>
      <c r="H535">
        <v>23.6</v>
      </c>
      <c r="I535">
        <v>241</v>
      </c>
      <c r="J535">
        <v>395.1</v>
      </c>
      <c r="K535">
        <v>1</v>
      </c>
      <c r="L535" t="s">
        <v>56</v>
      </c>
      <c r="M535">
        <v>0</v>
      </c>
      <c r="N535">
        <v>1</v>
      </c>
      <c r="O535">
        <v>23.3</v>
      </c>
      <c r="P535">
        <v>0</v>
      </c>
      <c r="Q535">
        <v>0</v>
      </c>
      <c r="R535">
        <v>0</v>
      </c>
      <c r="S535" t="s">
        <v>66</v>
      </c>
      <c r="T535">
        <v>0</v>
      </c>
      <c r="U535">
        <v>1</v>
      </c>
      <c r="V535">
        <v>0</v>
      </c>
      <c r="W535">
        <v>1</v>
      </c>
      <c r="X535" t="s">
        <v>55</v>
      </c>
    </row>
    <row r="536" customHeight="1" spans="1:24">
      <c r="A536" t="s">
        <v>599</v>
      </c>
      <c r="B536">
        <v>69</v>
      </c>
      <c r="C536">
        <v>10</v>
      </c>
      <c r="D536" t="s">
        <v>53</v>
      </c>
      <c r="E536" t="s">
        <v>54</v>
      </c>
      <c r="F536" t="s">
        <v>58</v>
      </c>
      <c r="G536">
        <v>315</v>
      </c>
      <c r="H536">
        <v>23.32</v>
      </c>
      <c r="I536">
        <v>77</v>
      </c>
      <c r="J536">
        <v>441.25</v>
      </c>
      <c r="K536">
        <v>1</v>
      </c>
      <c r="L536" t="s">
        <v>56</v>
      </c>
      <c r="M536">
        <v>1</v>
      </c>
      <c r="N536">
        <v>1</v>
      </c>
      <c r="O536">
        <v>21.8</v>
      </c>
      <c r="P536">
        <v>0</v>
      </c>
      <c r="Q536">
        <v>0</v>
      </c>
      <c r="R536">
        <v>2</v>
      </c>
      <c r="S536" t="s">
        <v>57</v>
      </c>
      <c r="T536">
        <v>1</v>
      </c>
      <c r="U536">
        <v>1</v>
      </c>
      <c r="V536">
        <v>0</v>
      </c>
      <c r="W536">
        <v>0</v>
      </c>
      <c r="X536" t="s">
        <v>58</v>
      </c>
    </row>
    <row r="537" customHeight="1" spans="1:24">
      <c r="A537" t="s">
        <v>600</v>
      </c>
      <c r="B537">
        <v>73</v>
      </c>
      <c r="C537">
        <v>51</v>
      </c>
      <c r="D537" t="s">
        <v>60</v>
      </c>
      <c r="E537" t="s">
        <v>61</v>
      </c>
      <c r="F537" t="s">
        <v>58</v>
      </c>
      <c r="G537">
        <v>317</v>
      </c>
      <c r="H537">
        <v>37.69</v>
      </c>
      <c r="I537">
        <v>173</v>
      </c>
      <c r="J537">
        <v>824.43</v>
      </c>
      <c r="K537">
        <v>0</v>
      </c>
      <c r="L537" t="s">
        <v>62</v>
      </c>
      <c r="M537">
        <v>3</v>
      </c>
      <c r="N537">
        <v>3</v>
      </c>
      <c r="O537">
        <v>29.9</v>
      </c>
      <c r="P537">
        <v>1</v>
      </c>
      <c r="Q537">
        <v>0</v>
      </c>
      <c r="R537">
        <v>3</v>
      </c>
      <c r="S537" t="s">
        <v>63</v>
      </c>
      <c r="T537">
        <v>1</v>
      </c>
      <c r="U537">
        <v>0</v>
      </c>
      <c r="V537">
        <v>0</v>
      </c>
      <c r="W537">
        <v>0</v>
      </c>
      <c r="X537" t="s">
        <v>58</v>
      </c>
    </row>
    <row r="538" customHeight="1" spans="1:24">
      <c r="A538" t="s">
        <v>601</v>
      </c>
      <c r="B538">
        <v>73</v>
      </c>
      <c r="C538">
        <v>55</v>
      </c>
      <c r="D538" t="s">
        <v>60</v>
      </c>
      <c r="E538" t="s">
        <v>54</v>
      </c>
      <c r="F538" t="s">
        <v>55</v>
      </c>
      <c r="G538">
        <v>190</v>
      </c>
      <c r="H538">
        <v>2.17</v>
      </c>
      <c r="I538">
        <v>154</v>
      </c>
      <c r="J538">
        <v>827.52</v>
      </c>
      <c r="K538">
        <v>0</v>
      </c>
      <c r="L538" t="s">
        <v>62</v>
      </c>
      <c r="M538">
        <v>1</v>
      </c>
      <c r="N538">
        <v>1</v>
      </c>
      <c r="O538">
        <v>35.9</v>
      </c>
      <c r="P538">
        <v>1</v>
      </c>
      <c r="Q538">
        <v>1</v>
      </c>
      <c r="R538">
        <v>0</v>
      </c>
      <c r="S538" t="s">
        <v>63</v>
      </c>
      <c r="T538">
        <v>1</v>
      </c>
      <c r="U538">
        <v>0</v>
      </c>
      <c r="V538">
        <v>1</v>
      </c>
      <c r="W538">
        <v>1</v>
      </c>
      <c r="X538" t="s">
        <v>55</v>
      </c>
    </row>
    <row r="539" customHeight="1" spans="1:24">
      <c r="A539" t="s">
        <v>602</v>
      </c>
      <c r="B539">
        <v>29</v>
      </c>
      <c r="C539">
        <v>3</v>
      </c>
      <c r="D539" t="s">
        <v>53</v>
      </c>
      <c r="E539" t="s">
        <v>69</v>
      </c>
      <c r="F539" t="s">
        <v>55</v>
      </c>
      <c r="G539">
        <v>287</v>
      </c>
      <c r="H539">
        <v>34.1</v>
      </c>
      <c r="I539">
        <v>45</v>
      </c>
      <c r="J539">
        <v>443.72</v>
      </c>
      <c r="K539">
        <v>0</v>
      </c>
      <c r="L539" t="s">
        <v>62</v>
      </c>
      <c r="M539">
        <v>1</v>
      </c>
      <c r="N539">
        <v>1</v>
      </c>
      <c r="O539">
        <v>25.8</v>
      </c>
      <c r="P539">
        <v>1</v>
      </c>
      <c r="Q539">
        <v>0</v>
      </c>
      <c r="R539">
        <v>0</v>
      </c>
      <c r="S539" t="s">
        <v>66</v>
      </c>
      <c r="T539">
        <v>1</v>
      </c>
      <c r="U539">
        <v>0</v>
      </c>
      <c r="V539">
        <v>0</v>
      </c>
      <c r="W539">
        <v>1</v>
      </c>
      <c r="X539" t="s">
        <v>55</v>
      </c>
    </row>
    <row r="540" customHeight="1" spans="1:24">
      <c r="A540" t="s">
        <v>603</v>
      </c>
      <c r="B540">
        <v>20</v>
      </c>
      <c r="C540">
        <v>37</v>
      </c>
      <c r="D540" t="s">
        <v>60</v>
      </c>
      <c r="E540" t="s">
        <v>61</v>
      </c>
      <c r="F540" t="s">
        <v>58</v>
      </c>
      <c r="G540">
        <v>625</v>
      </c>
      <c r="H540">
        <v>12.41</v>
      </c>
      <c r="I540">
        <v>135</v>
      </c>
      <c r="J540">
        <v>724.44</v>
      </c>
      <c r="K540">
        <v>0</v>
      </c>
      <c r="L540" t="s">
        <v>62</v>
      </c>
      <c r="M540">
        <v>1</v>
      </c>
      <c r="N540">
        <v>1</v>
      </c>
      <c r="O540">
        <v>8.7</v>
      </c>
      <c r="P540">
        <v>1</v>
      </c>
      <c r="Q540">
        <v>2</v>
      </c>
      <c r="R540">
        <v>1</v>
      </c>
      <c r="S540" t="s">
        <v>63</v>
      </c>
      <c r="T540">
        <v>1</v>
      </c>
      <c r="U540">
        <v>0</v>
      </c>
      <c r="V540">
        <v>0</v>
      </c>
      <c r="W540">
        <v>0</v>
      </c>
      <c r="X540" t="s">
        <v>58</v>
      </c>
    </row>
    <row r="541" customHeight="1" spans="1:24">
      <c r="A541" t="s">
        <v>604</v>
      </c>
      <c r="B541">
        <v>55</v>
      </c>
      <c r="C541">
        <v>6</v>
      </c>
      <c r="D541" t="s">
        <v>72</v>
      </c>
      <c r="E541" t="s">
        <v>76</v>
      </c>
      <c r="F541" t="s">
        <v>58</v>
      </c>
      <c r="G541">
        <v>369</v>
      </c>
      <c r="H541">
        <v>13.53</v>
      </c>
      <c r="I541">
        <v>121</v>
      </c>
      <c r="J541">
        <v>893.27</v>
      </c>
      <c r="K541">
        <v>1</v>
      </c>
      <c r="L541" t="s">
        <v>56</v>
      </c>
      <c r="M541">
        <v>0</v>
      </c>
      <c r="N541">
        <v>0</v>
      </c>
      <c r="O541">
        <v>23.7</v>
      </c>
      <c r="P541">
        <v>3</v>
      </c>
      <c r="Q541">
        <v>1</v>
      </c>
      <c r="R541">
        <v>1</v>
      </c>
      <c r="S541" t="s">
        <v>66</v>
      </c>
      <c r="T541">
        <v>0</v>
      </c>
      <c r="U541">
        <v>1</v>
      </c>
      <c r="V541">
        <v>0</v>
      </c>
      <c r="W541">
        <v>0</v>
      </c>
      <c r="X541" t="s">
        <v>58</v>
      </c>
    </row>
    <row r="542" customHeight="1" spans="1:24">
      <c r="A542" t="s">
        <v>605</v>
      </c>
      <c r="B542">
        <v>57</v>
      </c>
      <c r="C542">
        <v>53</v>
      </c>
      <c r="D542" t="s">
        <v>60</v>
      </c>
      <c r="E542" t="s">
        <v>69</v>
      </c>
      <c r="F542" t="s">
        <v>58</v>
      </c>
      <c r="G542">
        <v>506</v>
      </c>
      <c r="H542">
        <v>5.78</v>
      </c>
      <c r="I542">
        <v>60</v>
      </c>
      <c r="J542">
        <v>613.22</v>
      </c>
      <c r="K542">
        <v>0</v>
      </c>
      <c r="L542" t="s">
        <v>62</v>
      </c>
      <c r="M542">
        <v>2</v>
      </c>
      <c r="N542">
        <v>4</v>
      </c>
      <c r="O542">
        <v>55.3</v>
      </c>
      <c r="P542">
        <v>4</v>
      </c>
      <c r="Q542">
        <v>0</v>
      </c>
      <c r="R542">
        <v>0</v>
      </c>
      <c r="S542" t="s">
        <v>63</v>
      </c>
      <c r="T542">
        <v>1</v>
      </c>
      <c r="U542">
        <v>0</v>
      </c>
      <c r="V542">
        <v>0</v>
      </c>
      <c r="W542">
        <v>0</v>
      </c>
      <c r="X542" t="s">
        <v>58</v>
      </c>
    </row>
    <row r="543" customHeight="1" spans="1:24">
      <c r="A543" t="s">
        <v>606</v>
      </c>
      <c r="B543">
        <v>50</v>
      </c>
      <c r="C543">
        <v>61</v>
      </c>
      <c r="D543" t="s">
        <v>72</v>
      </c>
      <c r="E543" t="s">
        <v>69</v>
      </c>
      <c r="F543" t="s">
        <v>55</v>
      </c>
      <c r="G543">
        <v>28</v>
      </c>
      <c r="H543">
        <v>7.12</v>
      </c>
      <c r="I543">
        <v>145</v>
      </c>
      <c r="J543">
        <v>934.18</v>
      </c>
      <c r="K543">
        <v>1</v>
      </c>
      <c r="L543" t="s">
        <v>56</v>
      </c>
      <c r="M543">
        <v>1</v>
      </c>
      <c r="N543">
        <v>3</v>
      </c>
      <c r="O543">
        <v>43.8</v>
      </c>
      <c r="P543">
        <v>1</v>
      </c>
      <c r="Q543">
        <v>1</v>
      </c>
      <c r="R543">
        <v>0</v>
      </c>
      <c r="S543" t="s">
        <v>63</v>
      </c>
      <c r="T543">
        <v>1</v>
      </c>
      <c r="U543">
        <v>1</v>
      </c>
      <c r="V543">
        <v>0</v>
      </c>
      <c r="W543">
        <v>1</v>
      </c>
      <c r="X543" t="s">
        <v>55</v>
      </c>
    </row>
    <row r="544" customHeight="1" spans="1:24">
      <c r="A544" t="s">
        <v>607</v>
      </c>
      <c r="B544">
        <v>31</v>
      </c>
      <c r="C544">
        <v>63</v>
      </c>
      <c r="D544" t="s">
        <v>60</v>
      </c>
      <c r="E544" t="s">
        <v>54</v>
      </c>
      <c r="F544" t="s">
        <v>58</v>
      </c>
      <c r="G544">
        <v>485</v>
      </c>
      <c r="H544">
        <v>22.04</v>
      </c>
      <c r="I544">
        <v>130</v>
      </c>
      <c r="J544">
        <v>687.8</v>
      </c>
      <c r="K544">
        <v>0</v>
      </c>
      <c r="L544" t="s">
        <v>62</v>
      </c>
      <c r="M544">
        <v>0</v>
      </c>
      <c r="N544">
        <v>0</v>
      </c>
      <c r="O544">
        <v>23.7</v>
      </c>
      <c r="P544">
        <v>1</v>
      </c>
      <c r="Q544">
        <v>1</v>
      </c>
      <c r="R544">
        <v>1</v>
      </c>
      <c r="S544" t="s">
        <v>63</v>
      </c>
      <c r="T544">
        <v>0</v>
      </c>
      <c r="U544">
        <v>0</v>
      </c>
      <c r="V544">
        <v>0</v>
      </c>
      <c r="W544">
        <v>0</v>
      </c>
      <c r="X544" t="s">
        <v>58</v>
      </c>
    </row>
    <row r="545" customHeight="1" spans="1:24">
      <c r="A545" t="s">
        <v>608</v>
      </c>
      <c r="B545">
        <v>73</v>
      </c>
      <c r="C545">
        <v>44</v>
      </c>
      <c r="D545" t="s">
        <v>72</v>
      </c>
      <c r="E545" t="s">
        <v>65</v>
      </c>
      <c r="F545" t="s">
        <v>58</v>
      </c>
      <c r="G545">
        <v>376</v>
      </c>
      <c r="H545">
        <v>6.88</v>
      </c>
      <c r="I545">
        <v>115</v>
      </c>
      <c r="J545">
        <v>1208.49</v>
      </c>
      <c r="K545">
        <v>0</v>
      </c>
      <c r="L545" t="s">
        <v>62</v>
      </c>
      <c r="M545">
        <v>1</v>
      </c>
      <c r="N545">
        <v>1</v>
      </c>
      <c r="O545">
        <v>24.8</v>
      </c>
      <c r="P545">
        <v>1</v>
      </c>
      <c r="Q545">
        <v>2</v>
      </c>
      <c r="R545">
        <v>2</v>
      </c>
      <c r="S545" t="s">
        <v>63</v>
      </c>
      <c r="T545">
        <v>1</v>
      </c>
      <c r="U545">
        <v>0</v>
      </c>
      <c r="V545">
        <v>0</v>
      </c>
      <c r="W545">
        <v>0</v>
      </c>
      <c r="X545" t="s">
        <v>58</v>
      </c>
    </row>
    <row r="546" customHeight="1" spans="1:24">
      <c r="A546" t="s">
        <v>609</v>
      </c>
      <c r="B546">
        <v>41</v>
      </c>
      <c r="C546">
        <v>46</v>
      </c>
      <c r="D546" t="s">
        <v>53</v>
      </c>
      <c r="E546" t="s">
        <v>76</v>
      </c>
      <c r="F546" t="s">
        <v>55</v>
      </c>
      <c r="G546">
        <v>328</v>
      </c>
      <c r="H546">
        <v>25.4</v>
      </c>
      <c r="I546">
        <v>115</v>
      </c>
      <c r="J546">
        <v>561.02</v>
      </c>
      <c r="K546">
        <v>0</v>
      </c>
      <c r="L546" t="s">
        <v>62</v>
      </c>
      <c r="M546">
        <v>1</v>
      </c>
      <c r="N546">
        <v>2</v>
      </c>
      <c r="O546">
        <v>35.2</v>
      </c>
      <c r="P546">
        <v>2</v>
      </c>
      <c r="Q546">
        <v>0</v>
      </c>
      <c r="R546">
        <v>0</v>
      </c>
      <c r="S546" t="s">
        <v>63</v>
      </c>
      <c r="T546">
        <v>1</v>
      </c>
      <c r="U546">
        <v>0</v>
      </c>
      <c r="V546">
        <v>0</v>
      </c>
      <c r="W546">
        <v>1</v>
      </c>
      <c r="X546" t="s">
        <v>55</v>
      </c>
    </row>
    <row r="547" customHeight="1" spans="1:24">
      <c r="A547" t="s">
        <v>610</v>
      </c>
      <c r="B547">
        <v>61</v>
      </c>
      <c r="C547">
        <v>67</v>
      </c>
      <c r="D547" t="s">
        <v>60</v>
      </c>
      <c r="E547" t="s">
        <v>54</v>
      </c>
      <c r="F547" t="s">
        <v>58</v>
      </c>
      <c r="G547">
        <v>427</v>
      </c>
      <c r="H547">
        <v>11.37</v>
      </c>
      <c r="I547">
        <v>114</v>
      </c>
      <c r="J547">
        <v>869.66</v>
      </c>
      <c r="K547">
        <v>0</v>
      </c>
      <c r="L547" t="s">
        <v>62</v>
      </c>
      <c r="M547">
        <v>1</v>
      </c>
      <c r="N547">
        <v>1</v>
      </c>
      <c r="O547">
        <v>21.8</v>
      </c>
      <c r="P547">
        <v>0</v>
      </c>
      <c r="Q547">
        <v>3</v>
      </c>
      <c r="R547">
        <v>0</v>
      </c>
      <c r="S547" t="s">
        <v>63</v>
      </c>
      <c r="T547">
        <v>1</v>
      </c>
      <c r="U547">
        <v>0</v>
      </c>
      <c r="V547">
        <v>0</v>
      </c>
      <c r="W547">
        <v>0</v>
      </c>
      <c r="X547" t="s">
        <v>58</v>
      </c>
    </row>
    <row r="548" customHeight="1" spans="1:24">
      <c r="A548" t="s">
        <v>611</v>
      </c>
      <c r="B548">
        <v>54</v>
      </c>
      <c r="C548">
        <v>45</v>
      </c>
      <c r="D548" t="s">
        <v>53</v>
      </c>
      <c r="E548" t="s">
        <v>65</v>
      </c>
      <c r="F548" t="s">
        <v>58</v>
      </c>
      <c r="G548">
        <v>326</v>
      </c>
      <c r="H548">
        <v>5.87</v>
      </c>
      <c r="I548">
        <v>94</v>
      </c>
      <c r="J548">
        <v>546.86</v>
      </c>
      <c r="K548">
        <v>1</v>
      </c>
      <c r="L548" t="s">
        <v>56</v>
      </c>
      <c r="M548">
        <v>1</v>
      </c>
      <c r="N548">
        <v>1</v>
      </c>
      <c r="O548">
        <v>18.5</v>
      </c>
      <c r="P548">
        <v>2</v>
      </c>
      <c r="Q548">
        <v>0</v>
      </c>
      <c r="R548">
        <v>1</v>
      </c>
      <c r="S548" t="s">
        <v>63</v>
      </c>
      <c r="T548">
        <v>1</v>
      </c>
      <c r="U548">
        <v>1</v>
      </c>
      <c r="V548">
        <v>0</v>
      </c>
      <c r="W548">
        <v>0</v>
      </c>
      <c r="X548" t="s">
        <v>58</v>
      </c>
    </row>
    <row r="549" customHeight="1" spans="1:24">
      <c r="A549" t="s">
        <v>612</v>
      </c>
      <c r="B549">
        <v>69</v>
      </c>
      <c r="C549">
        <v>33</v>
      </c>
      <c r="D549" t="s">
        <v>60</v>
      </c>
      <c r="E549" t="s">
        <v>69</v>
      </c>
      <c r="F549" t="s">
        <v>55</v>
      </c>
      <c r="G549">
        <v>81</v>
      </c>
      <c r="H549">
        <v>12.72</v>
      </c>
      <c r="I549">
        <v>130</v>
      </c>
      <c r="J549">
        <v>778.34</v>
      </c>
      <c r="K549">
        <v>0</v>
      </c>
      <c r="L549" t="s">
        <v>62</v>
      </c>
      <c r="M549">
        <v>1</v>
      </c>
      <c r="N549">
        <v>1</v>
      </c>
      <c r="O549">
        <v>20.8</v>
      </c>
      <c r="P549">
        <v>1</v>
      </c>
      <c r="Q549">
        <v>0</v>
      </c>
      <c r="R549">
        <v>0</v>
      </c>
      <c r="S549" t="s">
        <v>63</v>
      </c>
      <c r="T549">
        <v>1</v>
      </c>
      <c r="U549">
        <v>0</v>
      </c>
      <c r="V549">
        <v>0</v>
      </c>
      <c r="W549">
        <v>1</v>
      </c>
      <c r="X549" t="s">
        <v>55</v>
      </c>
    </row>
    <row r="550" customHeight="1" spans="1:24">
      <c r="A550" t="s">
        <v>613</v>
      </c>
      <c r="B550">
        <v>59</v>
      </c>
      <c r="C550">
        <v>55</v>
      </c>
      <c r="D550" t="s">
        <v>60</v>
      </c>
      <c r="E550" t="s">
        <v>61</v>
      </c>
      <c r="F550" t="s">
        <v>58</v>
      </c>
      <c r="G550">
        <v>538</v>
      </c>
      <c r="H550">
        <v>21.37</v>
      </c>
      <c r="I550">
        <v>75</v>
      </c>
      <c r="J550">
        <v>646.59</v>
      </c>
      <c r="K550">
        <v>1</v>
      </c>
      <c r="L550" t="s">
        <v>56</v>
      </c>
      <c r="M550">
        <v>0</v>
      </c>
      <c r="N550">
        <v>0</v>
      </c>
      <c r="O550">
        <v>30.6</v>
      </c>
      <c r="P550">
        <v>1</v>
      </c>
      <c r="Q550">
        <v>0</v>
      </c>
      <c r="R550">
        <v>0</v>
      </c>
      <c r="S550" t="s">
        <v>63</v>
      </c>
      <c r="T550">
        <v>0</v>
      </c>
      <c r="U550">
        <v>1</v>
      </c>
      <c r="V550">
        <v>0</v>
      </c>
      <c r="W550">
        <v>0</v>
      </c>
      <c r="X550" t="s">
        <v>58</v>
      </c>
    </row>
    <row r="551" customHeight="1" spans="1:24">
      <c r="A551" t="s">
        <v>614</v>
      </c>
      <c r="B551">
        <v>54</v>
      </c>
      <c r="C551">
        <v>43</v>
      </c>
      <c r="D551" t="s">
        <v>53</v>
      </c>
      <c r="E551" t="s">
        <v>61</v>
      </c>
      <c r="F551" t="s">
        <v>58</v>
      </c>
      <c r="G551">
        <v>436</v>
      </c>
      <c r="H551">
        <v>17.41</v>
      </c>
      <c r="I551">
        <v>306</v>
      </c>
      <c r="J551">
        <v>445.87</v>
      </c>
      <c r="K551">
        <v>0</v>
      </c>
      <c r="L551" t="s">
        <v>62</v>
      </c>
      <c r="M551">
        <v>0</v>
      </c>
      <c r="N551">
        <v>1</v>
      </c>
      <c r="O551">
        <v>10.2</v>
      </c>
      <c r="P551">
        <v>1</v>
      </c>
      <c r="Q551">
        <v>1</v>
      </c>
      <c r="R551">
        <v>0</v>
      </c>
      <c r="S551" t="s">
        <v>63</v>
      </c>
      <c r="T551">
        <v>0</v>
      </c>
      <c r="U551">
        <v>0</v>
      </c>
      <c r="V551">
        <v>1</v>
      </c>
      <c r="W551">
        <v>0</v>
      </c>
      <c r="X551" t="s">
        <v>58</v>
      </c>
    </row>
    <row r="552" customHeight="1" spans="1:24">
      <c r="A552" t="s">
        <v>615</v>
      </c>
      <c r="B552">
        <v>66</v>
      </c>
      <c r="C552">
        <v>61</v>
      </c>
      <c r="D552" t="s">
        <v>72</v>
      </c>
      <c r="E552" t="s">
        <v>69</v>
      </c>
      <c r="F552" t="s">
        <v>55</v>
      </c>
      <c r="G552">
        <v>353</v>
      </c>
      <c r="H552">
        <v>18.34</v>
      </c>
      <c r="I552">
        <v>21</v>
      </c>
      <c r="J552">
        <v>1048.41</v>
      </c>
      <c r="K552">
        <v>0</v>
      </c>
      <c r="L552" t="s">
        <v>62</v>
      </c>
      <c r="M552">
        <v>0</v>
      </c>
      <c r="N552">
        <v>1</v>
      </c>
      <c r="O552">
        <v>38.3</v>
      </c>
      <c r="P552">
        <v>2</v>
      </c>
      <c r="Q552">
        <v>0</v>
      </c>
      <c r="R552">
        <v>0</v>
      </c>
      <c r="S552" t="s">
        <v>63</v>
      </c>
      <c r="T552">
        <v>0</v>
      </c>
      <c r="U552">
        <v>0</v>
      </c>
      <c r="V552">
        <v>0</v>
      </c>
      <c r="W552">
        <v>1</v>
      </c>
      <c r="X552" t="s">
        <v>55</v>
      </c>
    </row>
    <row r="553" customHeight="1" spans="1:24">
      <c r="A553" t="s">
        <v>616</v>
      </c>
      <c r="B553">
        <v>21</v>
      </c>
      <c r="C553">
        <v>38</v>
      </c>
      <c r="D553" t="s">
        <v>53</v>
      </c>
      <c r="E553" t="s">
        <v>54</v>
      </c>
      <c r="F553" t="s">
        <v>55</v>
      </c>
      <c r="G553">
        <v>255</v>
      </c>
      <c r="H553">
        <v>24.96</v>
      </c>
      <c r="I553">
        <v>79</v>
      </c>
      <c r="J553">
        <v>416.02</v>
      </c>
      <c r="K553">
        <v>2</v>
      </c>
      <c r="L553" t="s">
        <v>56</v>
      </c>
      <c r="M553">
        <v>0</v>
      </c>
      <c r="N553">
        <v>0</v>
      </c>
      <c r="O553">
        <v>23.3</v>
      </c>
      <c r="P553">
        <v>1</v>
      </c>
      <c r="Q553">
        <v>1</v>
      </c>
      <c r="R553">
        <v>0</v>
      </c>
      <c r="S553" t="s">
        <v>63</v>
      </c>
      <c r="T553">
        <v>0</v>
      </c>
      <c r="U553">
        <v>1</v>
      </c>
      <c r="V553">
        <v>0</v>
      </c>
      <c r="W553">
        <v>1</v>
      </c>
      <c r="X553" t="s">
        <v>55</v>
      </c>
    </row>
    <row r="554" customHeight="1" spans="1:24">
      <c r="A554" t="s">
        <v>617</v>
      </c>
      <c r="B554">
        <v>58</v>
      </c>
      <c r="C554">
        <v>63</v>
      </c>
      <c r="D554" t="s">
        <v>53</v>
      </c>
      <c r="E554" t="s">
        <v>61</v>
      </c>
      <c r="F554" t="s">
        <v>58</v>
      </c>
      <c r="G554">
        <v>180</v>
      </c>
      <c r="H554">
        <v>28.82</v>
      </c>
      <c r="I554">
        <v>85</v>
      </c>
      <c r="J554">
        <v>396.35</v>
      </c>
      <c r="K554">
        <v>1</v>
      </c>
      <c r="L554" t="s">
        <v>56</v>
      </c>
      <c r="M554">
        <v>1</v>
      </c>
      <c r="N554">
        <v>1</v>
      </c>
      <c r="O554">
        <v>12.8</v>
      </c>
      <c r="P554">
        <v>3</v>
      </c>
      <c r="Q554">
        <v>1</v>
      </c>
      <c r="R554">
        <v>1</v>
      </c>
      <c r="S554" t="s">
        <v>63</v>
      </c>
      <c r="T554">
        <v>1</v>
      </c>
      <c r="U554">
        <v>1</v>
      </c>
      <c r="V554">
        <v>0</v>
      </c>
      <c r="W554">
        <v>0</v>
      </c>
      <c r="X554" t="s">
        <v>58</v>
      </c>
    </row>
    <row r="555" customHeight="1" spans="1:24">
      <c r="A555" t="s">
        <v>618</v>
      </c>
      <c r="B555">
        <v>52</v>
      </c>
      <c r="C555">
        <v>4</v>
      </c>
      <c r="D555" t="s">
        <v>53</v>
      </c>
      <c r="E555" t="s">
        <v>76</v>
      </c>
      <c r="F555" t="s">
        <v>58</v>
      </c>
      <c r="G555">
        <v>434</v>
      </c>
      <c r="H555">
        <v>14.9</v>
      </c>
      <c r="I555">
        <v>263</v>
      </c>
      <c r="J555">
        <v>365.3</v>
      </c>
      <c r="K555">
        <v>0</v>
      </c>
      <c r="L555" t="s">
        <v>62</v>
      </c>
      <c r="M555">
        <v>0</v>
      </c>
      <c r="N555">
        <v>0</v>
      </c>
      <c r="O555">
        <v>37.5</v>
      </c>
      <c r="P555">
        <v>3</v>
      </c>
      <c r="Q555">
        <v>0</v>
      </c>
      <c r="R555">
        <v>2</v>
      </c>
      <c r="S555" t="s">
        <v>66</v>
      </c>
      <c r="T555">
        <v>0</v>
      </c>
      <c r="U555">
        <v>0</v>
      </c>
      <c r="V555">
        <v>0</v>
      </c>
      <c r="W555">
        <v>0</v>
      </c>
      <c r="X555" t="s">
        <v>58</v>
      </c>
    </row>
    <row r="556" customHeight="1" spans="1:24">
      <c r="A556" t="s">
        <v>619</v>
      </c>
      <c r="B556">
        <v>63</v>
      </c>
      <c r="C556">
        <v>3</v>
      </c>
      <c r="D556" t="s">
        <v>60</v>
      </c>
      <c r="E556" t="s">
        <v>69</v>
      </c>
      <c r="F556" t="s">
        <v>58</v>
      </c>
      <c r="G556">
        <v>642</v>
      </c>
      <c r="H556">
        <v>7.56</v>
      </c>
      <c r="I556">
        <v>28</v>
      </c>
      <c r="J556">
        <v>725.43</v>
      </c>
      <c r="K556">
        <v>0</v>
      </c>
      <c r="L556" t="s">
        <v>62</v>
      </c>
      <c r="M556">
        <v>1</v>
      </c>
      <c r="N556">
        <v>3</v>
      </c>
      <c r="O556">
        <v>5.5</v>
      </c>
      <c r="P556">
        <v>0</v>
      </c>
      <c r="Q556">
        <v>0</v>
      </c>
      <c r="R556">
        <v>0</v>
      </c>
      <c r="S556" t="s">
        <v>66</v>
      </c>
      <c r="T556">
        <v>1</v>
      </c>
      <c r="U556">
        <v>0</v>
      </c>
      <c r="V556">
        <v>0</v>
      </c>
      <c r="W556">
        <v>0</v>
      </c>
      <c r="X556" t="s">
        <v>58</v>
      </c>
    </row>
    <row r="557" customHeight="1" spans="1:24">
      <c r="A557" t="s">
        <v>620</v>
      </c>
      <c r="B557">
        <v>31</v>
      </c>
      <c r="C557">
        <v>8</v>
      </c>
      <c r="D557" t="s">
        <v>53</v>
      </c>
      <c r="E557" t="s">
        <v>69</v>
      </c>
      <c r="F557" t="s">
        <v>58</v>
      </c>
      <c r="G557">
        <v>430</v>
      </c>
      <c r="H557">
        <v>18.76</v>
      </c>
      <c r="I557">
        <v>150</v>
      </c>
      <c r="J557">
        <v>507.36</v>
      </c>
      <c r="K557">
        <v>0</v>
      </c>
      <c r="L557" t="s">
        <v>62</v>
      </c>
      <c r="M557">
        <v>0</v>
      </c>
      <c r="N557">
        <v>2</v>
      </c>
      <c r="O557">
        <v>17.3</v>
      </c>
      <c r="P557">
        <v>3</v>
      </c>
      <c r="Q557">
        <v>2</v>
      </c>
      <c r="R557">
        <v>0</v>
      </c>
      <c r="S557" t="s">
        <v>57</v>
      </c>
      <c r="T557">
        <v>0</v>
      </c>
      <c r="U557">
        <v>0</v>
      </c>
      <c r="V557">
        <v>0</v>
      </c>
      <c r="W557">
        <v>0</v>
      </c>
      <c r="X557" t="s">
        <v>58</v>
      </c>
    </row>
    <row r="558" customHeight="1" spans="1:24">
      <c r="A558" t="s">
        <v>621</v>
      </c>
      <c r="B558">
        <v>52</v>
      </c>
      <c r="C558">
        <v>41</v>
      </c>
      <c r="D558" t="s">
        <v>60</v>
      </c>
      <c r="E558" t="s">
        <v>65</v>
      </c>
      <c r="F558" t="s">
        <v>58</v>
      </c>
      <c r="G558">
        <v>193</v>
      </c>
      <c r="H558">
        <v>22.71</v>
      </c>
      <c r="I558">
        <v>137</v>
      </c>
      <c r="J558">
        <v>624.67</v>
      </c>
      <c r="K558">
        <v>0</v>
      </c>
      <c r="L558" t="s">
        <v>62</v>
      </c>
      <c r="M558">
        <v>1</v>
      </c>
      <c r="N558">
        <v>1</v>
      </c>
      <c r="O558">
        <v>17.1</v>
      </c>
      <c r="P558">
        <v>1</v>
      </c>
      <c r="Q558">
        <v>0</v>
      </c>
      <c r="R558">
        <v>0</v>
      </c>
      <c r="S558" t="s">
        <v>63</v>
      </c>
      <c r="T558">
        <v>1</v>
      </c>
      <c r="U558">
        <v>0</v>
      </c>
      <c r="V558">
        <v>0</v>
      </c>
      <c r="W558">
        <v>0</v>
      </c>
      <c r="X558" t="s">
        <v>58</v>
      </c>
    </row>
    <row r="559" customHeight="1" spans="1:24">
      <c r="A559" t="s">
        <v>622</v>
      </c>
      <c r="B559">
        <v>34</v>
      </c>
      <c r="C559">
        <v>52</v>
      </c>
      <c r="D559" t="s">
        <v>53</v>
      </c>
      <c r="E559" t="s">
        <v>69</v>
      </c>
      <c r="F559" t="s">
        <v>55</v>
      </c>
      <c r="G559">
        <v>434</v>
      </c>
      <c r="H559">
        <v>3.39</v>
      </c>
      <c r="I559">
        <v>143</v>
      </c>
      <c r="J559">
        <v>537.43</v>
      </c>
      <c r="K559">
        <v>1</v>
      </c>
      <c r="L559" t="s">
        <v>56</v>
      </c>
      <c r="M559">
        <v>0</v>
      </c>
      <c r="N559">
        <v>2</v>
      </c>
      <c r="O559">
        <v>49.7</v>
      </c>
      <c r="P559">
        <v>1</v>
      </c>
      <c r="Q559">
        <v>1</v>
      </c>
      <c r="R559">
        <v>0</v>
      </c>
      <c r="S559" t="s">
        <v>63</v>
      </c>
      <c r="T559">
        <v>0</v>
      </c>
      <c r="U559">
        <v>1</v>
      </c>
      <c r="V559">
        <v>1</v>
      </c>
      <c r="W559">
        <v>1</v>
      </c>
      <c r="X559" t="s">
        <v>55</v>
      </c>
    </row>
    <row r="560" customHeight="1" spans="1:24">
      <c r="A560" t="s">
        <v>623</v>
      </c>
      <c r="B560">
        <v>24</v>
      </c>
      <c r="C560">
        <v>16</v>
      </c>
      <c r="D560" t="s">
        <v>72</v>
      </c>
      <c r="E560" t="s">
        <v>61</v>
      </c>
      <c r="F560" t="s">
        <v>58</v>
      </c>
      <c r="G560">
        <v>392</v>
      </c>
      <c r="H560">
        <v>9.09</v>
      </c>
      <c r="I560">
        <v>207</v>
      </c>
      <c r="J560">
        <v>1105.08</v>
      </c>
      <c r="K560">
        <v>1</v>
      </c>
      <c r="L560" t="s">
        <v>56</v>
      </c>
      <c r="M560">
        <v>1</v>
      </c>
      <c r="N560">
        <v>1</v>
      </c>
      <c r="O560">
        <v>15.8</v>
      </c>
      <c r="P560">
        <v>1</v>
      </c>
      <c r="Q560">
        <v>1</v>
      </c>
      <c r="R560">
        <v>0</v>
      </c>
      <c r="S560" t="s">
        <v>57</v>
      </c>
      <c r="T560">
        <v>1</v>
      </c>
      <c r="U560">
        <v>1</v>
      </c>
      <c r="V560">
        <v>0</v>
      </c>
      <c r="W560">
        <v>0</v>
      </c>
      <c r="X560" t="s">
        <v>58</v>
      </c>
    </row>
    <row r="561" customHeight="1" spans="1:24">
      <c r="A561" t="s">
        <v>624</v>
      </c>
      <c r="B561">
        <v>51</v>
      </c>
      <c r="C561">
        <v>12</v>
      </c>
      <c r="D561" t="s">
        <v>72</v>
      </c>
      <c r="E561" t="s">
        <v>61</v>
      </c>
      <c r="F561" t="s">
        <v>58</v>
      </c>
      <c r="G561">
        <v>530</v>
      </c>
      <c r="H561">
        <v>10.81</v>
      </c>
      <c r="I561">
        <v>205</v>
      </c>
      <c r="J561">
        <v>1045.5</v>
      </c>
      <c r="K561">
        <v>0</v>
      </c>
      <c r="L561" t="s">
        <v>62</v>
      </c>
      <c r="M561">
        <v>0</v>
      </c>
      <c r="N561">
        <v>0</v>
      </c>
      <c r="O561">
        <v>1</v>
      </c>
      <c r="P561">
        <v>3</v>
      </c>
      <c r="Q561">
        <v>2</v>
      </c>
      <c r="R561">
        <v>0</v>
      </c>
      <c r="S561" t="s">
        <v>57</v>
      </c>
      <c r="T561">
        <v>0</v>
      </c>
      <c r="U561">
        <v>0</v>
      </c>
      <c r="V561">
        <v>0</v>
      </c>
      <c r="W561">
        <v>0</v>
      </c>
      <c r="X561" t="s">
        <v>58</v>
      </c>
    </row>
    <row r="562" customHeight="1" spans="1:24">
      <c r="A562" t="s">
        <v>625</v>
      </c>
      <c r="B562">
        <v>19</v>
      </c>
      <c r="C562">
        <v>62</v>
      </c>
      <c r="D562" t="s">
        <v>60</v>
      </c>
      <c r="E562" t="s">
        <v>76</v>
      </c>
      <c r="F562" t="s">
        <v>58</v>
      </c>
      <c r="G562">
        <v>491</v>
      </c>
      <c r="H562">
        <v>15.92</v>
      </c>
      <c r="I562">
        <v>88</v>
      </c>
      <c r="J562">
        <v>973.88</v>
      </c>
      <c r="K562">
        <v>0</v>
      </c>
      <c r="L562" t="s">
        <v>62</v>
      </c>
      <c r="M562">
        <v>0</v>
      </c>
      <c r="N562">
        <v>0</v>
      </c>
      <c r="O562">
        <v>17</v>
      </c>
      <c r="P562">
        <v>1</v>
      </c>
      <c r="Q562">
        <v>1</v>
      </c>
      <c r="R562">
        <v>0</v>
      </c>
      <c r="S562" t="s">
        <v>63</v>
      </c>
      <c r="T562">
        <v>0</v>
      </c>
      <c r="U562">
        <v>0</v>
      </c>
      <c r="V562">
        <v>0</v>
      </c>
      <c r="W562">
        <v>0</v>
      </c>
      <c r="X562" t="s">
        <v>58</v>
      </c>
    </row>
    <row r="563" customHeight="1" spans="1:24">
      <c r="A563" t="s">
        <v>626</v>
      </c>
      <c r="B563">
        <v>23</v>
      </c>
      <c r="C563">
        <v>55</v>
      </c>
      <c r="D563" t="s">
        <v>60</v>
      </c>
      <c r="E563" t="s">
        <v>76</v>
      </c>
      <c r="F563" t="s">
        <v>58</v>
      </c>
      <c r="G563">
        <v>20</v>
      </c>
      <c r="H563">
        <v>10.39</v>
      </c>
      <c r="I563">
        <v>134</v>
      </c>
      <c r="J563">
        <v>892.98</v>
      </c>
      <c r="K563">
        <v>0</v>
      </c>
      <c r="L563" t="s">
        <v>62</v>
      </c>
      <c r="M563">
        <v>0</v>
      </c>
      <c r="N563">
        <v>0</v>
      </c>
      <c r="O563">
        <v>29.5</v>
      </c>
      <c r="P563">
        <v>0</v>
      </c>
      <c r="Q563">
        <v>2</v>
      </c>
      <c r="R563">
        <v>0</v>
      </c>
      <c r="S563" t="s">
        <v>63</v>
      </c>
      <c r="T563">
        <v>0</v>
      </c>
      <c r="U563">
        <v>0</v>
      </c>
      <c r="V563">
        <v>0</v>
      </c>
      <c r="W563">
        <v>0</v>
      </c>
      <c r="X563" t="s">
        <v>58</v>
      </c>
    </row>
    <row r="564" customHeight="1" spans="1:24">
      <c r="A564" t="s">
        <v>627</v>
      </c>
      <c r="B564">
        <v>48</v>
      </c>
      <c r="C564">
        <v>47</v>
      </c>
      <c r="D564" t="s">
        <v>72</v>
      </c>
      <c r="E564" t="s">
        <v>76</v>
      </c>
      <c r="F564" t="s">
        <v>58</v>
      </c>
      <c r="G564">
        <v>482</v>
      </c>
      <c r="H564">
        <v>25.07</v>
      </c>
      <c r="I564">
        <v>0</v>
      </c>
      <c r="J564">
        <v>911.4</v>
      </c>
      <c r="K564">
        <v>0</v>
      </c>
      <c r="L564" t="s">
        <v>62</v>
      </c>
      <c r="M564">
        <v>1</v>
      </c>
      <c r="N564">
        <v>2</v>
      </c>
      <c r="O564">
        <v>33.4</v>
      </c>
      <c r="P564">
        <v>2</v>
      </c>
      <c r="Q564">
        <v>1</v>
      </c>
      <c r="R564">
        <v>0</v>
      </c>
      <c r="S564" t="s">
        <v>63</v>
      </c>
      <c r="T564">
        <v>1</v>
      </c>
      <c r="U564">
        <v>0</v>
      </c>
      <c r="V564">
        <v>0</v>
      </c>
      <c r="W564">
        <v>0</v>
      </c>
      <c r="X564" t="s">
        <v>58</v>
      </c>
    </row>
    <row r="565" customHeight="1" spans="1:24">
      <c r="A565" t="s">
        <v>628</v>
      </c>
      <c r="B565">
        <v>70</v>
      </c>
      <c r="C565">
        <v>36</v>
      </c>
      <c r="D565" t="s">
        <v>72</v>
      </c>
      <c r="E565" t="s">
        <v>69</v>
      </c>
      <c r="F565" t="s">
        <v>55</v>
      </c>
      <c r="G565">
        <v>249</v>
      </c>
      <c r="H565">
        <v>1.95</v>
      </c>
      <c r="I565">
        <v>127</v>
      </c>
      <c r="J565">
        <v>902.27</v>
      </c>
      <c r="K565">
        <v>0</v>
      </c>
      <c r="L565" t="s">
        <v>62</v>
      </c>
      <c r="M565">
        <v>0</v>
      </c>
      <c r="N565">
        <v>0</v>
      </c>
      <c r="O565">
        <v>51.3</v>
      </c>
      <c r="P565">
        <v>3</v>
      </c>
      <c r="Q565">
        <v>3</v>
      </c>
      <c r="R565">
        <v>0</v>
      </c>
      <c r="S565" t="s">
        <v>63</v>
      </c>
      <c r="T565">
        <v>0</v>
      </c>
      <c r="U565">
        <v>0</v>
      </c>
      <c r="V565">
        <v>1</v>
      </c>
      <c r="W565">
        <v>1</v>
      </c>
      <c r="X565" t="s">
        <v>55</v>
      </c>
    </row>
    <row r="566" customHeight="1" spans="1:24">
      <c r="A566" t="s">
        <v>629</v>
      </c>
      <c r="B566">
        <v>59</v>
      </c>
      <c r="C566">
        <v>31</v>
      </c>
      <c r="D566" t="s">
        <v>60</v>
      </c>
      <c r="E566" t="s">
        <v>61</v>
      </c>
      <c r="F566" t="s">
        <v>55</v>
      </c>
      <c r="G566">
        <v>187</v>
      </c>
      <c r="H566">
        <v>2.2</v>
      </c>
      <c r="I566">
        <v>64</v>
      </c>
      <c r="J566">
        <v>796.97</v>
      </c>
      <c r="K566">
        <v>2</v>
      </c>
      <c r="L566" t="s">
        <v>56</v>
      </c>
      <c r="M566">
        <v>0</v>
      </c>
      <c r="N566">
        <v>0</v>
      </c>
      <c r="O566">
        <v>40.9</v>
      </c>
      <c r="P566">
        <v>4</v>
      </c>
      <c r="Q566">
        <v>1</v>
      </c>
      <c r="R566">
        <v>0</v>
      </c>
      <c r="S566" t="s">
        <v>63</v>
      </c>
      <c r="T566">
        <v>0</v>
      </c>
      <c r="U566">
        <v>1</v>
      </c>
      <c r="V566">
        <v>1</v>
      </c>
      <c r="W566">
        <v>1</v>
      </c>
      <c r="X566" t="s">
        <v>58</v>
      </c>
    </row>
    <row r="567" customHeight="1" spans="1:24">
      <c r="A567" t="s">
        <v>630</v>
      </c>
      <c r="B567">
        <v>18</v>
      </c>
      <c r="C567">
        <v>2</v>
      </c>
      <c r="D567" t="s">
        <v>72</v>
      </c>
      <c r="E567" t="s">
        <v>54</v>
      </c>
      <c r="F567" t="s">
        <v>55</v>
      </c>
      <c r="G567">
        <v>372</v>
      </c>
      <c r="H567">
        <v>14.66</v>
      </c>
      <c r="I567">
        <v>107</v>
      </c>
      <c r="J567">
        <v>1027.71</v>
      </c>
      <c r="K567">
        <v>0</v>
      </c>
      <c r="L567" t="s">
        <v>62</v>
      </c>
      <c r="M567">
        <v>1</v>
      </c>
      <c r="N567">
        <v>1</v>
      </c>
      <c r="O567">
        <v>26.3</v>
      </c>
      <c r="P567">
        <v>1</v>
      </c>
      <c r="Q567">
        <v>0</v>
      </c>
      <c r="R567">
        <v>0</v>
      </c>
      <c r="S567" t="s">
        <v>66</v>
      </c>
      <c r="T567">
        <v>1</v>
      </c>
      <c r="U567">
        <v>0</v>
      </c>
      <c r="V567">
        <v>0</v>
      </c>
      <c r="W567">
        <v>1</v>
      </c>
      <c r="X567" t="s">
        <v>55</v>
      </c>
    </row>
    <row r="568" customHeight="1" spans="1:24">
      <c r="A568" t="s">
        <v>631</v>
      </c>
      <c r="B568">
        <v>24</v>
      </c>
      <c r="C568">
        <v>14</v>
      </c>
      <c r="D568" t="s">
        <v>72</v>
      </c>
      <c r="E568" t="s">
        <v>54</v>
      </c>
      <c r="F568" t="s">
        <v>55</v>
      </c>
      <c r="G568">
        <v>462</v>
      </c>
      <c r="H568">
        <v>16.24</v>
      </c>
      <c r="I568">
        <v>2</v>
      </c>
      <c r="J568">
        <v>1195.31</v>
      </c>
      <c r="K568">
        <v>0</v>
      </c>
      <c r="L568" t="s">
        <v>62</v>
      </c>
      <c r="M568">
        <v>1</v>
      </c>
      <c r="N568">
        <v>1</v>
      </c>
      <c r="O568">
        <v>13.3</v>
      </c>
      <c r="P568">
        <v>0</v>
      </c>
      <c r="Q568">
        <v>1</v>
      </c>
      <c r="R568">
        <v>0</v>
      </c>
      <c r="S568" t="s">
        <v>57</v>
      </c>
      <c r="T568">
        <v>1</v>
      </c>
      <c r="U568">
        <v>0</v>
      </c>
      <c r="V568">
        <v>0</v>
      </c>
      <c r="W568">
        <v>1</v>
      </c>
      <c r="X568" t="s">
        <v>55</v>
      </c>
    </row>
    <row r="569" customHeight="1" spans="1:24">
      <c r="A569" t="s">
        <v>632</v>
      </c>
      <c r="B569">
        <v>43</v>
      </c>
      <c r="C569">
        <v>65</v>
      </c>
      <c r="D569" t="s">
        <v>72</v>
      </c>
      <c r="E569" t="s">
        <v>54</v>
      </c>
      <c r="F569" t="s">
        <v>55</v>
      </c>
      <c r="G569">
        <v>154</v>
      </c>
      <c r="H569">
        <v>3.45</v>
      </c>
      <c r="I569">
        <v>148</v>
      </c>
      <c r="J569">
        <v>1267.14</v>
      </c>
      <c r="K569">
        <v>1</v>
      </c>
      <c r="L569" t="s">
        <v>56</v>
      </c>
      <c r="M569">
        <v>1</v>
      </c>
      <c r="N569">
        <v>3</v>
      </c>
      <c r="O569">
        <v>43.5</v>
      </c>
      <c r="P569">
        <v>1</v>
      </c>
      <c r="Q569">
        <v>0</v>
      </c>
      <c r="R569">
        <v>0</v>
      </c>
      <c r="S569" t="s">
        <v>63</v>
      </c>
      <c r="T569">
        <v>1</v>
      </c>
      <c r="U569">
        <v>1</v>
      </c>
      <c r="V569">
        <v>1</v>
      </c>
      <c r="W569">
        <v>1</v>
      </c>
      <c r="X569" t="s">
        <v>55</v>
      </c>
    </row>
    <row r="570" customHeight="1" spans="1:24">
      <c r="A570" t="s">
        <v>633</v>
      </c>
      <c r="B570">
        <v>42</v>
      </c>
      <c r="C570">
        <v>25</v>
      </c>
      <c r="D570" t="s">
        <v>60</v>
      </c>
      <c r="E570" t="s">
        <v>54</v>
      </c>
      <c r="F570" t="s">
        <v>55</v>
      </c>
      <c r="G570">
        <v>506</v>
      </c>
      <c r="H570">
        <v>11.93</v>
      </c>
      <c r="I570">
        <v>1</v>
      </c>
      <c r="J570">
        <v>775.65</v>
      </c>
      <c r="K570">
        <v>0</v>
      </c>
      <c r="L570" t="s">
        <v>62</v>
      </c>
      <c r="M570">
        <v>0</v>
      </c>
      <c r="N570">
        <v>2</v>
      </c>
      <c r="O570">
        <v>19.6</v>
      </c>
      <c r="P570">
        <v>4</v>
      </c>
      <c r="Q570">
        <v>0</v>
      </c>
      <c r="R570">
        <v>0</v>
      </c>
      <c r="S570" t="s">
        <v>63</v>
      </c>
      <c r="T570">
        <v>0</v>
      </c>
      <c r="U570">
        <v>0</v>
      </c>
      <c r="V570">
        <v>0</v>
      </c>
      <c r="W570">
        <v>1</v>
      </c>
      <c r="X570" t="s">
        <v>58</v>
      </c>
    </row>
    <row r="571" customHeight="1" spans="1:24">
      <c r="A571" t="s">
        <v>634</v>
      </c>
      <c r="B571">
        <v>20</v>
      </c>
      <c r="C571">
        <v>51</v>
      </c>
      <c r="D571" t="s">
        <v>53</v>
      </c>
      <c r="E571" t="s">
        <v>54</v>
      </c>
      <c r="F571" t="s">
        <v>58</v>
      </c>
      <c r="G571">
        <v>515</v>
      </c>
      <c r="H571">
        <v>13.99</v>
      </c>
      <c r="I571">
        <v>130</v>
      </c>
      <c r="J571">
        <v>420.52</v>
      </c>
      <c r="K571">
        <v>0</v>
      </c>
      <c r="L571" t="s">
        <v>62</v>
      </c>
      <c r="M571">
        <v>1</v>
      </c>
      <c r="N571">
        <v>2</v>
      </c>
      <c r="O571">
        <v>16.1</v>
      </c>
      <c r="P571">
        <v>1</v>
      </c>
      <c r="Q571">
        <v>2</v>
      </c>
      <c r="R571">
        <v>0</v>
      </c>
      <c r="S571" t="s">
        <v>63</v>
      </c>
      <c r="T571">
        <v>1</v>
      </c>
      <c r="U571">
        <v>0</v>
      </c>
      <c r="V571">
        <v>0</v>
      </c>
      <c r="W571">
        <v>0</v>
      </c>
      <c r="X571" t="s">
        <v>58</v>
      </c>
    </row>
    <row r="572" customHeight="1" spans="1:24">
      <c r="A572" t="s">
        <v>635</v>
      </c>
      <c r="B572">
        <v>32</v>
      </c>
      <c r="C572">
        <v>51</v>
      </c>
      <c r="D572" t="s">
        <v>53</v>
      </c>
      <c r="E572" t="s">
        <v>69</v>
      </c>
      <c r="F572" t="s">
        <v>58</v>
      </c>
      <c r="G572">
        <v>407</v>
      </c>
      <c r="H572">
        <v>14.07</v>
      </c>
      <c r="I572">
        <v>34</v>
      </c>
      <c r="J572">
        <v>458.31</v>
      </c>
      <c r="K572">
        <v>0</v>
      </c>
      <c r="L572" t="s">
        <v>62</v>
      </c>
      <c r="M572">
        <v>1</v>
      </c>
      <c r="N572">
        <v>1</v>
      </c>
      <c r="O572">
        <v>19</v>
      </c>
      <c r="P572">
        <v>2</v>
      </c>
      <c r="Q572">
        <v>0</v>
      </c>
      <c r="R572">
        <v>0</v>
      </c>
      <c r="S572" t="s">
        <v>63</v>
      </c>
      <c r="T572">
        <v>1</v>
      </c>
      <c r="U572">
        <v>0</v>
      </c>
      <c r="V572">
        <v>0</v>
      </c>
      <c r="W572">
        <v>0</v>
      </c>
      <c r="X572" t="s">
        <v>58</v>
      </c>
    </row>
    <row r="573" customHeight="1" spans="1:24">
      <c r="A573" t="s">
        <v>636</v>
      </c>
      <c r="B573">
        <v>25</v>
      </c>
      <c r="C573">
        <v>23</v>
      </c>
      <c r="D573" t="s">
        <v>60</v>
      </c>
      <c r="E573" t="s">
        <v>61</v>
      </c>
      <c r="F573" t="s">
        <v>58</v>
      </c>
      <c r="G573">
        <v>270</v>
      </c>
      <c r="H573">
        <v>19.52</v>
      </c>
      <c r="I573">
        <v>61</v>
      </c>
      <c r="J573">
        <v>767.1</v>
      </c>
      <c r="K573">
        <v>0</v>
      </c>
      <c r="L573" t="s">
        <v>62</v>
      </c>
      <c r="M573">
        <v>1</v>
      </c>
      <c r="N573">
        <v>2</v>
      </c>
      <c r="O573">
        <v>9</v>
      </c>
      <c r="P573">
        <v>0</v>
      </c>
      <c r="Q573">
        <v>1</v>
      </c>
      <c r="R573">
        <v>1</v>
      </c>
      <c r="S573" t="s">
        <v>57</v>
      </c>
      <c r="T573">
        <v>1</v>
      </c>
      <c r="U573">
        <v>0</v>
      </c>
      <c r="V573">
        <v>0</v>
      </c>
      <c r="W573">
        <v>0</v>
      </c>
      <c r="X573" t="s">
        <v>58</v>
      </c>
    </row>
    <row r="574" customHeight="1" spans="1:24">
      <c r="A574" t="s">
        <v>637</v>
      </c>
      <c r="B574">
        <v>50</v>
      </c>
      <c r="C574">
        <v>15</v>
      </c>
      <c r="D574" t="s">
        <v>60</v>
      </c>
      <c r="E574" t="s">
        <v>76</v>
      </c>
      <c r="F574" t="s">
        <v>55</v>
      </c>
      <c r="G574">
        <v>253</v>
      </c>
      <c r="H574">
        <v>11.38</v>
      </c>
      <c r="I574">
        <v>201</v>
      </c>
      <c r="J574">
        <v>738.7</v>
      </c>
      <c r="K574">
        <v>1</v>
      </c>
      <c r="L574" t="s">
        <v>56</v>
      </c>
      <c r="M574">
        <v>1</v>
      </c>
      <c r="N574">
        <v>1</v>
      </c>
      <c r="O574">
        <v>18.4</v>
      </c>
      <c r="P574">
        <v>1</v>
      </c>
      <c r="Q574">
        <v>3</v>
      </c>
      <c r="R574">
        <v>0</v>
      </c>
      <c r="S574" t="s">
        <v>57</v>
      </c>
      <c r="T574">
        <v>1</v>
      </c>
      <c r="U574">
        <v>1</v>
      </c>
      <c r="V574">
        <v>0</v>
      </c>
      <c r="W574">
        <v>1</v>
      </c>
      <c r="X574" t="s">
        <v>55</v>
      </c>
    </row>
    <row r="575" customHeight="1" spans="1:24">
      <c r="A575" t="s">
        <v>638</v>
      </c>
      <c r="B575">
        <v>56</v>
      </c>
      <c r="C575">
        <v>50</v>
      </c>
      <c r="D575" t="s">
        <v>60</v>
      </c>
      <c r="E575" t="s">
        <v>61</v>
      </c>
      <c r="F575" t="s">
        <v>58</v>
      </c>
      <c r="G575">
        <v>554</v>
      </c>
      <c r="H575">
        <v>32.78</v>
      </c>
      <c r="I575">
        <v>161</v>
      </c>
      <c r="J575">
        <v>900.87</v>
      </c>
      <c r="K575">
        <v>0</v>
      </c>
      <c r="L575" t="s">
        <v>62</v>
      </c>
      <c r="M575">
        <v>2</v>
      </c>
      <c r="N575">
        <v>2</v>
      </c>
      <c r="O575">
        <v>21.2</v>
      </c>
      <c r="P575">
        <v>1</v>
      </c>
      <c r="Q575">
        <v>2</v>
      </c>
      <c r="R575">
        <v>0</v>
      </c>
      <c r="S575" t="s">
        <v>63</v>
      </c>
      <c r="T575">
        <v>1</v>
      </c>
      <c r="U575">
        <v>0</v>
      </c>
      <c r="V575">
        <v>0</v>
      </c>
      <c r="W575">
        <v>0</v>
      </c>
      <c r="X575" t="s">
        <v>58</v>
      </c>
    </row>
    <row r="576" customHeight="1" spans="1:24">
      <c r="A576" t="s">
        <v>639</v>
      </c>
      <c r="B576">
        <v>40</v>
      </c>
      <c r="C576">
        <v>7</v>
      </c>
      <c r="D576" t="s">
        <v>60</v>
      </c>
      <c r="E576" t="s">
        <v>54</v>
      </c>
      <c r="F576" t="s">
        <v>55</v>
      </c>
      <c r="G576">
        <v>173</v>
      </c>
      <c r="H576">
        <v>22.88</v>
      </c>
      <c r="I576">
        <v>200</v>
      </c>
      <c r="J576">
        <v>846.76</v>
      </c>
      <c r="K576">
        <v>0</v>
      </c>
      <c r="L576" t="s">
        <v>62</v>
      </c>
      <c r="M576">
        <v>0</v>
      </c>
      <c r="N576">
        <v>0</v>
      </c>
      <c r="O576">
        <v>23.7</v>
      </c>
      <c r="P576">
        <v>4</v>
      </c>
      <c r="Q576">
        <v>1</v>
      </c>
      <c r="R576">
        <v>2</v>
      </c>
      <c r="S576" t="s">
        <v>57</v>
      </c>
      <c r="T576">
        <v>0</v>
      </c>
      <c r="U576">
        <v>0</v>
      </c>
      <c r="V576">
        <v>0</v>
      </c>
      <c r="W576">
        <v>1</v>
      </c>
      <c r="X576" t="s">
        <v>55</v>
      </c>
    </row>
    <row r="577" customHeight="1" spans="1:24">
      <c r="A577" t="s">
        <v>640</v>
      </c>
      <c r="B577">
        <v>51</v>
      </c>
      <c r="C577">
        <v>36</v>
      </c>
      <c r="D577" t="s">
        <v>60</v>
      </c>
      <c r="E577" t="s">
        <v>76</v>
      </c>
      <c r="F577" t="s">
        <v>58</v>
      </c>
      <c r="G577">
        <v>560</v>
      </c>
      <c r="H577">
        <v>9.93</v>
      </c>
      <c r="I577">
        <v>229</v>
      </c>
      <c r="J577">
        <v>717.9</v>
      </c>
      <c r="K577">
        <v>0</v>
      </c>
      <c r="L577" t="s">
        <v>62</v>
      </c>
      <c r="M577">
        <v>0</v>
      </c>
      <c r="N577">
        <v>0</v>
      </c>
      <c r="O577">
        <v>19.3</v>
      </c>
      <c r="P577">
        <v>3</v>
      </c>
      <c r="Q577">
        <v>2</v>
      </c>
      <c r="R577">
        <v>0</v>
      </c>
      <c r="S577" t="s">
        <v>63</v>
      </c>
      <c r="T577">
        <v>0</v>
      </c>
      <c r="U577">
        <v>0</v>
      </c>
      <c r="V577">
        <v>0</v>
      </c>
      <c r="W577">
        <v>0</v>
      </c>
      <c r="X577" t="s">
        <v>58</v>
      </c>
    </row>
    <row r="578" customHeight="1" spans="1:24">
      <c r="A578" t="s">
        <v>641</v>
      </c>
      <c r="B578">
        <v>29</v>
      </c>
      <c r="C578">
        <v>64</v>
      </c>
      <c r="D578" t="s">
        <v>72</v>
      </c>
      <c r="E578" t="s">
        <v>54</v>
      </c>
      <c r="F578" t="s">
        <v>58</v>
      </c>
      <c r="G578">
        <v>375</v>
      </c>
      <c r="H578">
        <v>18.95</v>
      </c>
      <c r="I578">
        <v>66</v>
      </c>
      <c r="J578">
        <v>1282.51</v>
      </c>
      <c r="K578">
        <v>1</v>
      </c>
      <c r="L578" t="s">
        <v>56</v>
      </c>
      <c r="M578">
        <v>1</v>
      </c>
      <c r="N578">
        <v>1</v>
      </c>
      <c r="O578">
        <v>8.8</v>
      </c>
      <c r="P578">
        <v>0</v>
      </c>
      <c r="Q578">
        <v>0</v>
      </c>
      <c r="R578">
        <v>0</v>
      </c>
      <c r="S578" t="s">
        <v>63</v>
      </c>
      <c r="T578">
        <v>1</v>
      </c>
      <c r="U578">
        <v>1</v>
      </c>
      <c r="V578">
        <v>0</v>
      </c>
      <c r="W578">
        <v>0</v>
      </c>
      <c r="X578" t="s">
        <v>58</v>
      </c>
    </row>
    <row r="579" customHeight="1" spans="1:24">
      <c r="A579" t="s">
        <v>642</v>
      </c>
      <c r="B579">
        <v>67</v>
      </c>
      <c r="C579">
        <v>52</v>
      </c>
      <c r="D579" t="s">
        <v>53</v>
      </c>
      <c r="E579" t="s">
        <v>65</v>
      </c>
      <c r="F579" t="s">
        <v>55</v>
      </c>
      <c r="G579">
        <v>386</v>
      </c>
      <c r="H579">
        <v>19.24</v>
      </c>
      <c r="I579">
        <v>225</v>
      </c>
      <c r="J579">
        <v>364.22</v>
      </c>
      <c r="K579">
        <v>1</v>
      </c>
      <c r="L579" t="s">
        <v>56</v>
      </c>
      <c r="M579">
        <v>0</v>
      </c>
      <c r="N579">
        <v>1</v>
      </c>
      <c r="O579">
        <v>4.8</v>
      </c>
      <c r="P579">
        <v>2</v>
      </c>
      <c r="Q579">
        <v>0</v>
      </c>
      <c r="R579">
        <v>1</v>
      </c>
      <c r="S579" t="s">
        <v>63</v>
      </c>
      <c r="T579">
        <v>0</v>
      </c>
      <c r="U579">
        <v>1</v>
      </c>
      <c r="V579">
        <v>0</v>
      </c>
      <c r="W579">
        <v>1</v>
      </c>
      <c r="X579" t="s">
        <v>55</v>
      </c>
    </row>
    <row r="580" customHeight="1" spans="1:24">
      <c r="A580" t="s">
        <v>643</v>
      </c>
      <c r="B580">
        <v>18</v>
      </c>
      <c r="C580">
        <v>56</v>
      </c>
      <c r="D580" t="s">
        <v>53</v>
      </c>
      <c r="E580" t="s">
        <v>76</v>
      </c>
      <c r="F580" t="s">
        <v>55</v>
      </c>
      <c r="G580">
        <v>144</v>
      </c>
      <c r="H580">
        <v>30.15</v>
      </c>
      <c r="I580">
        <v>17</v>
      </c>
      <c r="J580">
        <v>555.09</v>
      </c>
      <c r="K580">
        <v>2</v>
      </c>
      <c r="L580" t="s">
        <v>56</v>
      </c>
      <c r="M580">
        <v>0</v>
      </c>
      <c r="N580">
        <v>0</v>
      </c>
      <c r="O580">
        <v>23.7</v>
      </c>
      <c r="P580">
        <v>1</v>
      </c>
      <c r="Q580">
        <v>0</v>
      </c>
      <c r="R580">
        <v>1</v>
      </c>
      <c r="S580" t="s">
        <v>63</v>
      </c>
      <c r="T580">
        <v>0</v>
      </c>
      <c r="U580">
        <v>1</v>
      </c>
      <c r="V580">
        <v>0</v>
      </c>
      <c r="W580">
        <v>1</v>
      </c>
      <c r="X580" t="s">
        <v>55</v>
      </c>
    </row>
    <row r="581" customHeight="1" spans="1:24">
      <c r="A581" t="s">
        <v>644</v>
      </c>
      <c r="B581">
        <v>47</v>
      </c>
      <c r="C581">
        <v>6</v>
      </c>
      <c r="D581" t="s">
        <v>72</v>
      </c>
      <c r="E581" t="s">
        <v>65</v>
      </c>
      <c r="F581" t="s">
        <v>58</v>
      </c>
      <c r="G581">
        <v>378</v>
      </c>
      <c r="H581">
        <v>12</v>
      </c>
      <c r="I581">
        <v>172</v>
      </c>
      <c r="J581">
        <v>1089.91</v>
      </c>
      <c r="K581">
        <v>2</v>
      </c>
      <c r="L581" t="s">
        <v>56</v>
      </c>
      <c r="M581">
        <v>1</v>
      </c>
      <c r="N581">
        <v>1</v>
      </c>
      <c r="O581">
        <v>24.9</v>
      </c>
      <c r="P581">
        <v>1</v>
      </c>
      <c r="Q581">
        <v>1</v>
      </c>
      <c r="R581">
        <v>0</v>
      </c>
      <c r="S581" t="s">
        <v>66</v>
      </c>
      <c r="T581">
        <v>1</v>
      </c>
      <c r="U581">
        <v>1</v>
      </c>
      <c r="V581">
        <v>0</v>
      </c>
      <c r="W581">
        <v>0</v>
      </c>
      <c r="X581" t="s">
        <v>58</v>
      </c>
    </row>
    <row r="582" customHeight="1" spans="1:24">
      <c r="A582" t="s">
        <v>645</v>
      </c>
      <c r="B582">
        <v>36</v>
      </c>
      <c r="C582">
        <v>15</v>
      </c>
      <c r="D582" t="s">
        <v>72</v>
      </c>
      <c r="E582" t="s">
        <v>76</v>
      </c>
      <c r="F582" t="s">
        <v>58</v>
      </c>
      <c r="G582">
        <v>492</v>
      </c>
      <c r="H582">
        <v>25.67</v>
      </c>
      <c r="I582">
        <v>85</v>
      </c>
      <c r="J582">
        <v>993.5</v>
      </c>
      <c r="K582">
        <v>0</v>
      </c>
      <c r="L582" t="s">
        <v>62</v>
      </c>
      <c r="M582">
        <v>0</v>
      </c>
      <c r="N582">
        <v>0</v>
      </c>
      <c r="O582">
        <v>23.7</v>
      </c>
      <c r="P582">
        <v>1</v>
      </c>
      <c r="Q582">
        <v>1</v>
      </c>
      <c r="R582">
        <v>0</v>
      </c>
      <c r="S582" t="s">
        <v>57</v>
      </c>
      <c r="T582">
        <v>0</v>
      </c>
      <c r="U582">
        <v>0</v>
      </c>
      <c r="V582">
        <v>0</v>
      </c>
      <c r="W582">
        <v>0</v>
      </c>
      <c r="X582" t="s">
        <v>58</v>
      </c>
    </row>
    <row r="583" customHeight="1" spans="1:24">
      <c r="A583" t="s">
        <v>646</v>
      </c>
      <c r="B583">
        <v>44</v>
      </c>
      <c r="C583">
        <v>20</v>
      </c>
      <c r="D583" t="s">
        <v>72</v>
      </c>
      <c r="E583" t="s">
        <v>65</v>
      </c>
      <c r="F583" t="s">
        <v>58</v>
      </c>
      <c r="G583">
        <v>200</v>
      </c>
      <c r="H583">
        <v>18.42</v>
      </c>
      <c r="I583">
        <v>55</v>
      </c>
      <c r="J583">
        <v>1086.05</v>
      </c>
      <c r="K583">
        <v>1</v>
      </c>
      <c r="L583" t="s">
        <v>56</v>
      </c>
      <c r="M583">
        <v>1</v>
      </c>
      <c r="N583">
        <v>1</v>
      </c>
      <c r="O583">
        <v>18.4</v>
      </c>
      <c r="P583">
        <v>0</v>
      </c>
      <c r="Q583">
        <v>2</v>
      </c>
      <c r="R583">
        <v>0</v>
      </c>
      <c r="S583" t="s">
        <v>57</v>
      </c>
      <c r="T583">
        <v>1</v>
      </c>
      <c r="U583">
        <v>1</v>
      </c>
      <c r="V583">
        <v>0</v>
      </c>
      <c r="W583">
        <v>0</v>
      </c>
      <c r="X583" t="s">
        <v>58</v>
      </c>
    </row>
    <row r="584" customHeight="1" spans="1:24">
      <c r="A584" t="s">
        <v>647</v>
      </c>
      <c r="B584">
        <v>47</v>
      </c>
      <c r="C584">
        <v>22</v>
      </c>
      <c r="D584" t="s">
        <v>72</v>
      </c>
      <c r="E584" t="s">
        <v>61</v>
      </c>
      <c r="F584" t="s">
        <v>55</v>
      </c>
      <c r="G584">
        <v>475</v>
      </c>
      <c r="H584">
        <v>32.92</v>
      </c>
      <c r="I584">
        <v>163</v>
      </c>
      <c r="J584">
        <v>756.37</v>
      </c>
      <c r="K584">
        <v>2</v>
      </c>
      <c r="L584" t="s">
        <v>56</v>
      </c>
      <c r="M584">
        <v>1</v>
      </c>
      <c r="N584">
        <v>2</v>
      </c>
      <c r="O584">
        <v>28.7</v>
      </c>
      <c r="P584">
        <v>1</v>
      </c>
      <c r="Q584">
        <v>3</v>
      </c>
      <c r="R584">
        <v>0</v>
      </c>
      <c r="S584" t="s">
        <v>57</v>
      </c>
      <c r="T584">
        <v>1</v>
      </c>
      <c r="U584">
        <v>1</v>
      </c>
      <c r="V584">
        <v>0</v>
      </c>
      <c r="W584">
        <v>1</v>
      </c>
      <c r="X584" t="s">
        <v>55</v>
      </c>
    </row>
    <row r="585" customHeight="1" spans="1:24">
      <c r="A585" t="s">
        <v>648</v>
      </c>
      <c r="B585">
        <v>55</v>
      </c>
      <c r="C585">
        <v>14</v>
      </c>
      <c r="D585" t="s">
        <v>72</v>
      </c>
      <c r="E585" t="s">
        <v>76</v>
      </c>
      <c r="F585" t="s">
        <v>55</v>
      </c>
      <c r="G585">
        <v>413</v>
      </c>
      <c r="H585">
        <v>30.91</v>
      </c>
      <c r="I585">
        <v>186</v>
      </c>
      <c r="J585">
        <v>1131.88</v>
      </c>
      <c r="K585">
        <v>2</v>
      </c>
      <c r="L585" t="s">
        <v>56</v>
      </c>
      <c r="M585">
        <v>1</v>
      </c>
      <c r="N585">
        <v>1</v>
      </c>
      <c r="O585">
        <v>40.7</v>
      </c>
      <c r="P585">
        <v>1</v>
      </c>
      <c r="Q585">
        <v>0</v>
      </c>
      <c r="R585">
        <v>1</v>
      </c>
      <c r="S585" t="s">
        <v>57</v>
      </c>
      <c r="T585">
        <v>1</v>
      </c>
      <c r="U585">
        <v>1</v>
      </c>
      <c r="V585">
        <v>0</v>
      </c>
      <c r="W585">
        <v>1</v>
      </c>
      <c r="X585" t="s">
        <v>55</v>
      </c>
    </row>
    <row r="586" customHeight="1" spans="1:24">
      <c r="A586" t="s">
        <v>649</v>
      </c>
      <c r="B586">
        <v>71</v>
      </c>
      <c r="C586">
        <v>70</v>
      </c>
      <c r="D586" t="s">
        <v>53</v>
      </c>
      <c r="E586" t="s">
        <v>76</v>
      </c>
      <c r="F586" t="s">
        <v>55</v>
      </c>
      <c r="G586">
        <v>303</v>
      </c>
      <c r="H586">
        <v>19.97</v>
      </c>
      <c r="I586">
        <v>184</v>
      </c>
      <c r="J586">
        <v>354.92</v>
      </c>
      <c r="K586">
        <v>0</v>
      </c>
      <c r="L586" t="s">
        <v>62</v>
      </c>
      <c r="M586">
        <v>1</v>
      </c>
      <c r="N586">
        <v>2</v>
      </c>
      <c r="O586">
        <v>14.6</v>
      </c>
      <c r="P586">
        <v>2</v>
      </c>
      <c r="Q586">
        <v>0</v>
      </c>
      <c r="R586">
        <v>0</v>
      </c>
      <c r="S586" t="s">
        <v>63</v>
      </c>
      <c r="T586">
        <v>1</v>
      </c>
      <c r="U586">
        <v>0</v>
      </c>
      <c r="V586">
        <v>0</v>
      </c>
      <c r="W586">
        <v>1</v>
      </c>
      <c r="X586" t="s">
        <v>55</v>
      </c>
    </row>
    <row r="587" customHeight="1" spans="1:24">
      <c r="A587" t="s">
        <v>650</v>
      </c>
      <c r="B587">
        <v>50</v>
      </c>
      <c r="C587">
        <v>12</v>
      </c>
      <c r="D587" t="s">
        <v>60</v>
      </c>
      <c r="E587" t="s">
        <v>69</v>
      </c>
      <c r="F587" t="s">
        <v>58</v>
      </c>
      <c r="G587">
        <v>528</v>
      </c>
      <c r="H587">
        <v>15.38</v>
      </c>
      <c r="I587">
        <v>135</v>
      </c>
      <c r="J587">
        <v>733.11</v>
      </c>
      <c r="K587">
        <v>0</v>
      </c>
      <c r="L587" t="s">
        <v>62</v>
      </c>
      <c r="M587">
        <v>0</v>
      </c>
      <c r="N587">
        <v>1</v>
      </c>
      <c r="O587">
        <v>25.1</v>
      </c>
      <c r="P587">
        <v>0</v>
      </c>
      <c r="Q587">
        <v>0</v>
      </c>
      <c r="R587">
        <v>2</v>
      </c>
      <c r="S587" t="s">
        <v>57</v>
      </c>
      <c r="T587">
        <v>0</v>
      </c>
      <c r="U587">
        <v>0</v>
      </c>
      <c r="V587">
        <v>0</v>
      </c>
      <c r="W587">
        <v>0</v>
      </c>
      <c r="X587" t="s">
        <v>58</v>
      </c>
    </row>
    <row r="588" customHeight="1" spans="1:24">
      <c r="A588" t="s">
        <v>651</v>
      </c>
      <c r="B588">
        <v>31</v>
      </c>
      <c r="C588">
        <v>51</v>
      </c>
      <c r="D588" t="s">
        <v>53</v>
      </c>
      <c r="E588" t="s">
        <v>61</v>
      </c>
      <c r="F588" t="s">
        <v>55</v>
      </c>
      <c r="G588">
        <v>70</v>
      </c>
      <c r="H588">
        <v>23.07</v>
      </c>
      <c r="I588">
        <v>129</v>
      </c>
      <c r="J588">
        <v>469.11</v>
      </c>
      <c r="K588">
        <v>0</v>
      </c>
      <c r="L588" t="s">
        <v>62</v>
      </c>
      <c r="M588">
        <v>0</v>
      </c>
      <c r="N588">
        <v>0</v>
      </c>
      <c r="O588">
        <v>35.5</v>
      </c>
      <c r="P588">
        <v>6</v>
      </c>
      <c r="Q588">
        <v>2</v>
      </c>
      <c r="R588">
        <v>1</v>
      </c>
      <c r="S588" t="s">
        <v>63</v>
      </c>
      <c r="T588">
        <v>0</v>
      </c>
      <c r="U588">
        <v>0</v>
      </c>
      <c r="V588">
        <v>0</v>
      </c>
      <c r="W588">
        <v>1</v>
      </c>
      <c r="X588" t="s">
        <v>55</v>
      </c>
    </row>
    <row r="589" customHeight="1" spans="1:24">
      <c r="A589" t="s">
        <v>652</v>
      </c>
      <c r="B589">
        <v>48</v>
      </c>
      <c r="C589">
        <v>43</v>
      </c>
      <c r="D589" t="s">
        <v>60</v>
      </c>
      <c r="E589" t="s">
        <v>65</v>
      </c>
      <c r="F589" t="s">
        <v>58</v>
      </c>
      <c r="G589">
        <v>452</v>
      </c>
      <c r="H589">
        <v>16.2</v>
      </c>
      <c r="I589">
        <v>157</v>
      </c>
      <c r="J589">
        <v>627.57</v>
      </c>
      <c r="K589">
        <v>0</v>
      </c>
      <c r="L589" t="s">
        <v>62</v>
      </c>
      <c r="M589">
        <v>0</v>
      </c>
      <c r="N589">
        <v>0</v>
      </c>
      <c r="O589">
        <v>14.7</v>
      </c>
      <c r="P589">
        <v>3</v>
      </c>
      <c r="Q589">
        <v>1</v>
      </c>
      <c r="R589">
        <v>1</v>
      </c>
      <c r="S589" t="s">
        <v>63</v>
      </c>
      <c r="T589">
        <v>0</v>
      </c>
      <c r="U589">
        <v>0</v>
      </c>
      <c r="V589">
        <v>0</v>
      </c>
      <c r="W589">
        <v>0</v>
      </c>
      <c r="X589" t="s">
        <v>58</v>
      </c>
    </row>
    <row r="590" customHeight="1" spans="1:24">
      <c r="A590" t="s">
        <v>653</v>
      </c>
      <c r="B590">
        <v>47</v>
      </c>
      <c r="C590">
        <v>44</v>
      </c>
      <c r="D590" t="s">
        <v>72</v>
      </c>
      <c r="E590" t="s">
        <v>54</v>
      </c>
      <c r="F590" t="s">
        <v>55</v>
      </c>
      <c r="G590">
        <v>643</v>
      </c>
      <c r="H590">
        <v>34.8</v>
      </c>
      <c r="I590">
        <v>141</v>
      </c>
      <c r="J590">
        <v>1273.09</v>
      </c>
      <c r="K590">
        <v>1</v>
      </c>
      <c r="L590" t="s">
        <v>56</v>
      </c>
      <c r="M590">
        <v>1</v>
      </c>
      <c r="N590">
        <v>2</v>
      </c>
      <c r="O590">
        <v>23.8</v>
      </c>
      <c r="P590">
        <v>1</v>
      </c>
      <c r="Q590">
        <v>1</v>
      </c>
      <c r="R590">
        <v>2</v>
      </c>
      <c r="S590" t="s">
        <v>63</v>
      </c>
      <c r="T590">
        <v>1</v>
      </c>
      <c r="U590">
        <v>1</v>
      </c>
      <c r="V590">
        <v>0</v>
      </c>
      <c r="W590">
        <v>1</v>
      </c>
      <c r="X590" t="s">
        <v>55</v>
      </c>
    </row>
    <row r="591" customHeight="1" spans="1:24">
      <c r="A591" t="s">
        <v>654</v>
      </c>
      <c r="B591">
        <v>68</v>
      </c>
      <c r="C591">
        <v>16</v>
      </c>
      <c r="D591" t="s">
        <v>53</v>
      </c>
      <c r="E591" t="s">
        <v>69</v>
      </c>
      <c r="F591" t="s">
        <v>55</v>
      </c>
      <c r="G591">
        <v>616</v>
      </c>
      <c r="H591">
        <v>18.78</v>
      </c>
      <c r="I591">
        <v>158</v>
      </c>
      <c r="J591">
        <v>1643.8575</v>
      </c>
      <c r="K591">
        <v>1</v>
      </c>
      <c r="L591" t="s">
        <v>56</v>
      </c>
      <c r="M591">
        <v>0</v>
      </c>
      <c r="N591">
        <v>2</v>
      </c>
      <c r="O591">
        <v>23.5</v>
      </c>
      <c r="P591">
        <v>1</v>
      </c>
      <c r="Q591">
        <v>0</v>
      </c>
      <c r="R591">
        <v>0</v>
      </c>
      <c r="S591" t="s">
        <v>57</v>
      </c>
      <c r="T591">
        <v>0</v>
      </c>
      <c r="U591">
        <v>1</v>
      </c>
      <c r="V591">
        <v>0</v>
      </c>
      <c r="W591">
        <v>1</v>
      </c>
      <c r="X591" t="s">
        <v>55</v>
      </c>
    </row>
    <row r="592" customHeight="1" spans="1:24">
      <c r="A592" t="s">
        <v>655</v>
      </c>
      <c r="B592">
        <v>50</v>
      </c>
      <c r="C592">
        <v>23</v>
      </c>
      <c r="D592" t="s">
        <v>60</v>
      </c>
      <c r="E592" t="s">
        <v>61</v>
      </c>
      <c r="F592" t="s">
        <v>55</v>
      </c>
      <c r="G592">
        <v>458</v>
      </c>
      <c r="H592">
        <v>13.94</v>
      </c>
      <c r="I592">
        <v>134</v>
      </c>
      <c r="J592">
        <v>809.5</v>
      </c>
      <c r="K592">
        <v>0</v>
      </c>
      <c r="L592" t="s">
        <v>62</v>
      </c>
      <c r="M592">
        <v>1</v>
      </c>
      <c r="N592">
        <v>1</v>
      </c>
      <c r="O592">
        <v>8.3</v>
      </c>
      <c r="P592">
        <v>1</v>
      </c>
      <c r="Q592">
        <v>1</v>
      </c>
      <c r="R592">
        <v>1</v>
      </c>
      <c r="S592" t="s">
        <v>57</v>
      </c>
      <c r="T592">
        <v>1</v>
      </c>
      <c r="U592">
        <v>0</v>
      </c>
      <c r="V592">
        <v>0</v>
      </c>
      <c r="W592">
        <v>1</v>
      </c>
      <c r="X592" t="s">
        <v>55</v>
      </c>
    </row>
    <row r="593" customHeight="1" spans="1:24">
      <c r="A593" t="s">
        <v>656</v>
      </c>
      <c r="B593">
        <v>68</v>
      </c>
      <c r="C593">
        <v>44</v>
      </c>
      <c r="D593" t="s">
        <v>53</v>
      </c>
      <c r="E593" t="s">
        <v>69</v>
      </c>
      <c r="F593" t="s">
        <v>58</v>
      </c>
      <c r="G593">
        <v>355</v>
      </c>
      <c r="H593">
        <v>13.4</v>
      </c>
      <c r="I593">
        <v>179</v>
      </c>
      <c r="J593">
        <v>526.41</v>
      </c>
      <c r="K593">
        <v>0</v>
      </c>
      <c r="L593" t="s">
        <v>62</v>
      </c>
      <c r="M593">
        <v>0</v>
      </c>
      <c r="N593">
        <v>0</v>
      </c>
      <c r="O593">
        <v>23.7</v>
      </c>
      <c r="P593">
        <v>1</v>
      </c>
      <c r="Q593">
        <v>1</v>
      </c>
      <c r="R593">
        <v>0</v>
      </c>
      <c r="S593" t="s">
        <v>63</v>
      </c>
      <c r="T593">
        <v>0</v>
      </c>
      <c r="U593">
        <v>0</v>
      </c>
      <c r="V593">
        <v>0</v>
      </c>
      <c r="W593">
        <v>0</v>
      </c>
      <c r="X593" t="s">
        <v>58</v>
      </c>
    </row>
    <row r="594" customHeight="1" spans="1:24">
      <c r="A594" t="s">
        <v>657</v>
      </c>
      <c r="B594">
        <v>55</v>
      </c>
      <c r="C594">
        <v>22</v>
      </c>
      <c r="D594" t="s">
        <v>53</v>
      </c>
      <c r="E594" t="s">
        <v>69</v>
      </c>
      <c r="F594" t="s">
        <v>58</v>
      </c>
      <c r="G594">
        <v>305</v>
      </c>
      <c r="H594">
        <v>5.87</v>
      </c>
      <c r="I594">
        <v>6</v>
      </c>
      <c r="J594">
        <v>484.08</v>
      </c>
      <c r="K594">
        <v>0</v>
      </c>
      <c r="L594" t="s">
        <v>62</v>
      </c>
      <c r="M594">
        <v>0</v>
      </c>
      <c r="N594">
        <v>0</v>
      </c>
      <c r="O594">
        <v>24.4</v>
      </c>
      <c r="P594">
        <v>1</v>
      </c>
      <c r="Q594">
        <v>1</v>
      </c>
      <c r="R594">
        <v>1</v>
      </c>
      <c r="S594" t="s">
        <v>57</v>
      </c>
      <c r="T594">
        <v>0</v>
      </c>
      <c r="U594">
        <v>0</v>
      </c>
      <c r="V594">
        <v>0</v>
      </c>
      <c r="W594">
        <v>0</v>
      </c>
      <c r="X594" t="s">
        <v>58</v>
      </c>
    </row>
    <row r="595" customHeight="1" spans="1:24">
      <c r="A595" t="s">
        <v>658</v>
      </c>
      <c r="B595">
        <v>51</v>
      </c>
      <c r="C595">
        <v>50</v>
      </c>
      <c r="D595" t="s">
        <v>53</v>
      </c>
      <c r="E595" t="s">
        <v>65</v>
      </c>
      <c r="F595" t="s">
        <v>58</v>
      </c>
      <c r="G595">
        <v>355</v>
      </c>
      <c r="H595">
        <v>23.57</v>
      </c>
      <c r="I595">
        <v>111</v>
      </c>
      <c r="J595">
        <v>459.74</v>
      </c>
      <c r="K595">
        <v>0</v>
      </c>
      <c r="L595" t="s">
        <v>62</v>
      </c>
      <c r="M595">
        <v>0</v>
      </c>
      <c r="N595">
        <v>1</v>
      </c>
      <c r="O595">
        <v>30.7</v>
      </c>
      <c r="P595">
        <v>2</v>
      </c>
      <c r="Q595">
        <v>0</v>
      </c>
      <c r="R595">
        <v>0</v>
      </c>
      <c r="S595" t="s">
        <v>63</v>
      </c>
      <c r="T595">
        <v>0</v>
      </c>
      <c r="U595">
        <v>0</v>
      </c>
      <c r="V595">
        <v>0</v>
      </c>
      <c r="W595">
        <v>0</v>
      </c>
      <c r="X595" t="s">
        <v>58</v>
      </c>
    </row>
    <row r="596" customHeight="1" spans="1:24">
      <c r="A596" t="s">
        <v>659</v>
      </c>
      <c r="B596">
        <v>37</v>
      </c>
      <c r="C596">
        <v>3</v>
      </c>
      <c r="D596" t="s">
        <v>53</v>
      </c>
      <c r="E596" t="s">
        <v>61</v>
      </c>
      <c r="F596" t="s">
        <v>58</v>
      </c>
      <c r="G596">
        <v>482</v>
      </c>
      <c r="H596">
        <v>9.8</v>
      </c>
      <c r="I596">
        <v>23</v>
      </c>
      <c r="J596">
        <v>443.29</v>
      </c>
      <c r="K596">
        <v>0</v>
      </c>
      <c r="L596" t="s">
        <v>62</v>
      </c>
      <c r="M596">
        <v>2</v>
      </c>
      <c r="N596">
        <v>4</v>
      </c>
      <c r="O596">
        <v>9.8</v>
      </c>
      <c r="P596">
        <v>1</v>
      </c>
      <c r="Q596">
        <v>0</v>
      </c>
      <c r="R596">
        <v>0</v>
      </c>
      <c r="S596" t="s">
        <v>66</v>
      </c>
      <c r="T596">
        <v>1</v>
      </c>
      <c r="U596">
        <v>0</v>
      </c>
      <c r="V596">
        <v>0</v>
      </c>
      <c r="W596">
        <v>0</v>
      </c>
      <c r="X596" t="s">
        <v>58</v>
      </c>
    </row>
    <row r="597" customHeight="1" spans="1:24">
      <c r="A597" t="s">
        <v>660</v>
      </c>
      <c r="B597">
        <v>32</v>
      </c>
      <c r="C597">
        <v>6</v>
      </c>
      <c r="D597" t="s">
        <v>72</v>
      </c>
      <c r="E597" t="s">
        <v>61</v>
      </c>
      <c r="F597" t="s">
        <v>58</v>
      </c>
      <c r="G597">
        <v>279</v>
      </c>
      <c r="H597">
        <v>28.98</v>
      </c>
      <c r="I597">
        <v>139</v>
      </c>
      <c r="J597">
        <v>902.29</v>
      </c>
      <c r="K597">
        <v>0</v>
      </c>
      <c r="L597" t="s">
        <v>62</v>
      </c>
      <c r="M597">
        <v>1</v>
      </c>
      <c r="N597">
        <v>1</v>
      </c>
      <c r="O597">
        <v>24.1</v>
      </c>
      <c r="P597">
        <v>1</v>
      </c>
      <c r="Q597">
        <v>0</v>
      </c>
      <c r="R597">
        <v>0</v>
      </c>
      <c r="S597" t="s">
        <v>66</v>
      </c>
      <c r="T597">
        <v>1</v>
      </c>
      <c r="U597">
        <v>0</v>
      </c>
      <c r="V597">
        <v>0</v>
      </c>
      <c r="W597">
        <v>0</v>
      </c>
      <c r="X597" t="s">
        <v>58</v>
      </c>
    </row>
    <row r="598" customHeight="1" spans="1:24">
      <c r="A598" t="s">
        <v>661</v>
      </c>
      <c r="B598">
        <v>23</v>
      </c>
      <c r="C598">
        <v>53</v>
      </c>
      <c r="D598" t="s">
        <v>60</v>
      </c>
      <c r="E598" t="s">
        <v>76</v>
      </c>
      <c r="F598" t="s">
        <v>55</v>
      </c>
      <c r="G598">
        <v>514</v>
      </c>
      <c r="H598">
        <v>5.07</v>
      </c>
      <c r="I598">
        <v>235</v>
      </c>
      <c r="J598">
        <v>732.62</v>
      </c>
      <c r="K598">
        <v>1</v>
      </c>
      <c r="L598" t="s">
        <v>56</v>
      </c>
      <c r="M598">
        <v>1</v>
      </c>
      <c r="N598">
        <v>1</v>
      </c>
      <c r="O598">
        <v>40.6</v>
      </c>
      <c r="P598">
        <v>1</v>
      </c>
      <c r="Q598">
        <v>0</v>
      </c>
      <c r="R598">
        <v>0</v>
      </c>
      <c r="S598" t="s">
        <v>63</v>
      </c>
      <c r="T598">
        <v>1</v>
      </c>
      <c r="U598">
        <v>1</v>
      </c>
      <c r="V598">
        <v>0</v>
      </c>
      <c r="W598">
        <v>1</v>
      </c>
      <c r="X598" t="s">
        <v>55</v>
      </c>
    </row>
    <row r="599" customHeight="1" spans="1:24">
      <c r="A599" t="s">
        <v>662</v>
      </c>
      <c r="B599">
        <v>49</v>
      </c>
      <c r="C599">
        <v>45</v>
      </c>
      <c r="D599" t="s">
        <v>72</v>
      </c>
      <c r="E599" t="s">
        <v>69</v>
      </c>
      <c r="F599" t="s">
        <v>58</v>
      </c>
      <c r="G599">
        <v>720</v>
      </c>
      <c r="H599">
        <v>19.27</v>
      </c>
      <c r="I599">
        <v>87</v>
      </c>
      <c r="J599">
        <v>1150.83</v>
      </c>
      <c r="K599">
        <v>0</v>
      </c>
      <c r="L599" t="s">
        <v>62</v>
      </c>
      <c r="M599">
        <v>0</v>
      </c>
      <c r="N599">
        <v>0</v>
      </c>
      <c r="O599">
        <v>48.9</v>
      </c>
      <c r="P599">
        <v>2</v>
      </c>
      <c r="Q599">
        <v>0</v>
      </c>
      <c r="R599">
        <v>1</v>
      </c>
      <c r="S599" t="s">
        <v>63</v>
      </c>
      <c r="T599">
        <v>0</v>
      </c>
      <c r="U599">
        <v>0</v>
      </c>
      <c r="V599">
        <v>0</v>
      </c>
      <c r="W599">
        <v>0</v>
      </c>
      <c r="X599" t="s">
        <v>58</v>
      </c>
    </row>
    <row r="600" customHeight="1" spans="1:24">
      <c r="A600" t="s">
        <v>663</v>
      </c>
      <c r="B600">
        <v>71</v>
      </c>
      <c r="C600">
        <v>4</v>
      </c>
      <c r="D600" t="s">
        <v>60</v>
      </c>
      <c r="E600" t="s">
        <v>61</v>
      </c>
      <c r="F600" t="s">
        <v>58</v>
      </c>
      <c r="G600">
        <v>391</v>
      </c>
      <c r="H600">
        <v>29.5</v>
      </c>
      <c r="I600">
        <v>129</v>
      </c>
      <c r="J600">
        <v>734.88</v>
      </c>
      <c r="K600">
        <v>0</v>
      </c>
      <c r="L600" t="s">
        <v>62</v>
      </c>
      <c r="M600">
        <v>0</v>
      </c>
      <c r="N600">
        <v>1</v>
      </c>
      <c r="O600">
        <v>39.4</v>
      </c>
      <c r="P600">
        <v>1</v>
      </c>
      <c r="Q600">
        <v>3</v>
      </c>
      <c r="R600">
        <v>2</v>
      </c>
      <c r="S600" t="s">
        <v>66</v>
      </c>
      <c r="T600">
        <v>0</v>
      </c>
      <c r="U600">
        <v>0</v>
      </c>
      <c r="V600">
        <v>0</v>
      </c>
      <c r="W600">
        <v>0</v>
      </c>
      <c r="X600" t="s">
        <v>58</v>
      </c>
    </row>
    <row r="601" customHeight="1" spans="1:24">
      <c r="A601" t="s">
        <v>664</v>
      </c>
      <c r="B601">
        <v>18</v>
      </c>
      <c r="C601">
        <v>65</v>
      </c>
      <c r="D601" t="s">
        <v>53</v>
      </c>
      <c r="E601" t="s">
        <v>54</v>
      </c>
      <c r="F601" t="s">
        <v>58</v>
      </c>
      <c r="G601">
        <v>198</v>
      </c>
      <c r="H601">
        <v>0.5</v>
      </c>
      <c r="I601">
        <v>173</v>
      </c>
      <c r="J601">
        <v>387.71</v>
      </c>
      <c r="K601">
        <v>0</v>
      </c>
      <c r="L601" t="s">
        <v>62</v>
      </c>
      <c r="M601">
        <v>0</v>
      </c>
      <c r="N601">
        <v>0</v>
      </c>
      <c r="O601">
        <v>23.7</v>
      </c>
      <c r="P601">
        <v>2</v>
      </c>
      <c r="Q601">
        <v>1</v>
      </c>
      <c r="R601">
        <v>1</v>
      </c>
      <c r="S601" t="s">
        <v>63</v>
      </c>
      <c r="T601">
        <v>0</v>
      </c>
      <c r="U601">
        <v>0</v>
      </c>
      <c r="V601">
        <v>1</v>
      </c>
      <c r="W601">
        <v>0</v>
      </c>
      <c r="X601" t="s">
        <v>58</v>
      </c>
    </row>
    <row r="602" customHeight="1" spans="1:24">
      <c r="A602" t="s">
        <v>665</v>
      </c>
      <c r="B602">
        <v>73</v>
      </c>
      <c r="C602">
        <v>1</v>
      </c>
      <c r="D602" t="s">
        <v>53</v>
      </c>
      <c r="E602" t="s">
        <v>54</v>
      </c>
      <c r="F602" t="s">
        <v>55</v>
      </c>
      <c r="G602">
        <v>198</v>
      </c>
      <c r="H602">
        <v>38.18</v>
      </c>
      <c r="I602">
        <v>0</v>
      </c>
      <c r="J602">
        <v>415.54</v>
      </c>
      <c r="K602">
        <v>1</v>
      </c>
      <c r="L602" t="s">
        <v>56</v>
      </c>
      <c r="M602">
        <v>1</v>
      </c>
      <c r="N602">
        <v>2</v>
      </c>
      <c r="O602">
        <v>29.4</v>
      </c>
      <c r="P602">
        <v>2</v>
      </c>
      <c r="Q602">
        <v>0</v>
      </c>
      <c r="R602">
        <v>0</v>
      </c>
      <c r="S602" t="s">
        <v>66</v>
      </c>
      <c r="T602">
        <v>1</v>
      </c>
      <c r="U602">
        <v>1</v>
      </c>
      <c r="V602">
        <v>0</v>
      </c>
      <c r="W602">
        <v>1</v>
      </c>
      <c r="X602" t="s">
        <v>55</v>
      </c>
    </row>
    <row r="603" customHeight="1" spans="1:24">
      <c r="A603" t="s">
        <v>666</v>
      </c>
      <c r="B603">
        <v>67</v>
      </c>
      <c r="C603">
        <v>69</v>
      </c>
      <c r="D603" t="s">
        <v>72</v>
      </c>
      <c r="E603" t="s">
        <v>65</v>
      </c>
      <c r="F603" t="s">
        <v>55</v>
      </c>
      <c r="G603">
        <v>516</v>
      </c>
      <c r="H603">
        <v>13.75</v>
      </c>
      <c r="I603">
        <v>83</v>
      </c>
      <c r="J603">
        <v>830.94</v>
      </c>
      <c r="K603">
        <v>2</v>
      </c>
      <c r="L603" t="s">
        <v>56</v>
      </c>
      <c r="M603">
        <v>0</v>
      </c>
      <c r="N603">
        <v>1</v>
      </c>
      <c r="O603">
        <v>18.2</v>
      </c>
      <c r="P603">
        <v>3</v>
      </c>
      <c r="Q603">
        <v>0</v>
      </c>
      <c r="R603">
        <v>0</v>
      </c>
      <c r="S603" t="s">
        <v>63</v>
      </c>
      <c r="T603">
        <v>0</v>
      </c>
      <c r="U603">
        <v>1</v>
      </c>
      <c r="V603">
        <v>0</v>
      </c>
      <c r="W603">
        <v>1</v>
      </c>
      <c r="X603" t="s">
        <v>55</v>
      </c>
    </row>
    <row r="604" customHeight="1" spans="1:24">
      <c r="A604" t="s">
        <v>667</v>
      </c>
      <c r="B604">
        <v>43</v>
      </c>
      <c r="C604">
        <v>53</v>
      </c>
      <c r="D604" t="s">
        <v>53</v>
      </c>
      <c r="E604" t="s">
        <v>76</v>
      </c>
      <c r="F604" t="s">
        <v>58</v>
      </c>
      <c r="G604">
        <v>391</v>
      </c>
      <c r="H604">
        <v>19.41</v>
      </c>
      <c r="I604">
        <v>146</v>
      </c>
      <c r="J604">
        <v>423.85</v>
      </c>
      <c r="K604">
        <v>0</v>
      </c>
      <c r="L604" t="s">
        <v>62</v>
      </c>
      <c r="M604">
        <v>0</v>
      </c>
      <c r="N604">
        <v>0</v>
      </c>
      <c r="O604">
        <v>27.4</v>
      </c>
      <c r="P604">
        <v>0</v>
      </c>
      <c r="Q604">
        <v>2</v>
      </c>
      <c r="R604">
        <v>0</v>
      </c>
      <c r="S604" t="s">
        <v>63</v>
      </c>
      <c r="T604">
        <v>0</v>
      </c>
      <c r="U604">
        <v>0</v>
      </c>
      <c r="V604">
        <v>0</v>
      </c>
      <c r="W604">
        <v>0</v>
      </c>
      <c r="X604" t="s">
        <v>58</v>
      </c>
    </row>
    <row r="605" customHeight="1" spans="1:24">
      <c r="A605" t="s">
        <v>668</v>
      </c>
      <c r="B605">
        <v>36</v>
      </c>
      <c r="C605">
        <v>72</v>
      </c>
      <c r="D605" t="s">
        <v>72</v>
      </c>
      <c r="E605" t="s">
        <v>76</v>
      </c>
      <c r="F605" t="s">
        <v>58</v>
      </c>
      <c r="G605">
        <v>532</v>
      </c>
      <c r="H605">
        <v>23.71</v>
      </c>
      <c r="I605">
        <v>0</v>
      </c>
      <c r="J605">
        <v>1285.57</v>
      </c>
      <c r="K605">
        <v>0</v>
      </c>
      <c r="L605" t="s">
        <v>62</v>
      </c>
      <c r="M605">
        <v>5</v>
      </c>
      <c r="N605">
        <v>5</v>
      </c>
      <c r="O605">
        <v>14.7</v>
      </c>
      <c r="P605">
        <v>3</v>
      </c>
      <c r="Q605">
        <v>2</v>
      </c>
      <c r="R605">
        <v>0</v>
      </c>
      <c r="S605" t="s">
        <v>63</v>
      </c>
      <c r="T605">
        <v>1</v>
      </c>
      <c r="U605">
        <v>0</v>
      </c>
      <c r="V605">
        <v>0</v>
      </c>
      <c r="W605">
        <v>0</v>
      </c>
      <c r="X605" t="s">
        <v>58</v>
      </c>
    </row>
    <row r="606" customHeight="1" spans="1:24">
      <c r="A606" t="s">
        <v>669</v>
      </c>
      <c r="B606">
        <v>51</v>
      </c>
      <c r="C606">
        <v>69</v>
      </c>
      <c r="D606" t="s">
        <v>53</v>
      </c>
      <c r="E606" t="s">
        <v>54</v>
      </c>
      <c r="F606" t="s">
        <v>58</v>
      </c>
      <c r="G606">
        <v>320</v>
      </c>
      <c r="H606">
        <v>25.26</v>
      </c>
      <c r="I606">
        <v>52</v>
      </c>
      <c r="J606">
        <v>486.6</v>
      </c>
      <c r="K606">
        <v>1</v>
      </c>
      <c r="L606" t="s">
        <v>56</v>
      </c>
      <c r="M606">
        <v>0</v>
      </c>
      <c r="N606">
        <v>0</v>
      </c>
      <c r="O606">
        <v>3.4</v>
      </c>
      <c r="P606">
        <v>0</v>
      </c>
      <c r="Q606">
        <v>1</v>
      </c>
      <c r="R606">
        <v>0</v>
      </c>
      <c r="S606" t="s">
        <v>63</v>
      </c>
      <c r="T606">
        <v>0</v>
      </c>
      <c r="U606">
        <v>1</v>
      </c>
      <c r="V606">
        <v>0</v>
      </c>
      <c r="W606">
        <v>0</v>
      </c>
      <c r="X606" t="s">
        <v>58</v>
      </c>
    </row>
    <row r="607" customHeight="1" spans="1:24">
      <c r="A607" t="s">
        <v>670</v>
      </c>
      <c r="B607">
        <v>67</v>
      </c>
      <c r="C607">
        <v>23</v>
      </c>
      <c r="D607" t="s">
        <v>60</v>
      </c>
      <c r="E607" t="s">
        <v>65</v>
      </c>
      <c r="F607" t="s">
        <v>58</v>
      </c>
      <c r="G607">
        <v>525</v>
      </c>
      <c r="H607">
        <v>20.74</v>
      </c>
      <c r="I607">
        <v>197</v>
      </c>
      <c r="J607">
        <v>732.3</v>
      </c>
      <c r="K607">
        <v>0</v>
      </c>
      <c r="L607" t="s">
        <v>62</v>
      </c>
      <c r="M607">
        <v>0</v>
      </c>
      <c r="N607">
        <v>0</v>
      </c>
      <c r="O607">
        <v>19.9</v>
      </c>
      <c r="P607">
        <v>1</v>
      </c>
      <c r="Q607">
        <v>0</v>
      </c>
      <c r="R607">
        <v>0</v>
      </c>
      <c r="S607" t="s">
        <v>57</v>
      </c>
      <c r="T607">
        <v>0</v>
      </c>
      <c r="U607">
        <v>0</v>
      </c>
      <c r="V607">
        <v>0</v>
      </c>
      <c r="W607">
        <v>0</v>
      </c>
      <c r="X607" t="s">
        <v>58</v>
      </c>
    </row>
    <row r="608" customHeight="1" spans="1:24">
      <c r="A608" t="s">
        <v>671</v>
      </c>
      <c r="B608">
        <v>19</v>
      </c>
      <c r="C608">
        <v>55</v>
      </c>
      <c r="D608" t="s">
        <v>72</v>
      </c>
      <c r="E608" t="s">
        <v>54</v>
      </c>
      <c r="F608" t="s">
        <v>58</v>
      </c>
      <c r="G608">
        <v>376</v>
      </c>
      <c r="H608">
        <v>27.97</v>
      </c>
      <c r="I608">
        <v>190</v>
      </c>
      <c r="J608">
        <v>1302.93</v>
      </c>
      <c r="K608">
        <v>0</v>
      </c>
      <c r="L608" t="s">
        <v>62</v>
      </c>
      <c r="M608">
        <v>0</v>
      </c>
      <c r="N608">
        <v>0</v>
      </c>
      <c r="O608">
        <v>32.7</v>
      </c>
      <c r="P608">
        <v>0</v>
      </c>
      <c r="Q608">
        <v>1</v>
      </c>
      <c r="R608">
        <v>2</v>
      </c>
      <c r="S608" t="s">
        <v>63</v>
      </c>
      <c r="T608">
        <v>0</v>
      </c>
      <c r="U608">
        <v>0</v>
      </c>
      <c r="V608">
        <v>0</v>
      </c>
      <c r="W608">
        <v>0</v>
      </c>
      <c r="X608" t="s">
        <v>58</v>
      </c>
    </row>
    <row r="609" customHeight="1" spans="1:24">
      <c r="A609" t="s">
        <v>672</v>
      </c>
      <c r="B609">
        <v>44</v>
      </c>
      <c r="C609">
        <v>16</v>
      </c>
      <c r="D609" t="s">
        <v>53</v>
      </c>
      <c r="E609" t="s">
        <v>65</v>
      </c>
      <c r="F609" t="s">
        <v>58</v>
      </c>
      <c r="G609">
        <v>290</v>
      </c>
      <c r="H609">
        <v>23.19</v>
      </c>
      <c r="I609">
        <v>146</v>
      </c>
      <c r="J609">
        <v>519.71</v>
      </c>
      <c r="K609">
        <v>0</v>
      </c>
      <c r="L609" t="s">
        <v>62</v>
      </c>
      <c r="M609">
        <v>1</v>
      </c>
      <c r="N609">
        <v>1</v>
      </c>
      <c r="O609">
        <v>27.5</v>
      </c>
      <c r="P609">
        <v>0</v>
      </c>
      <c r="Q609">
        <v>1</v>
      </c>
      <c r="R609">
        <v>1</v>
      </c>
      <c r="S609" t="s">
        <v>57</v>
      </c>
      <c r="T609">
        <v>1</v>
      </c>
      <c r="U609">
        <v>0</v>
      </c>
      <c r="V609">
        <v>0</v>
      </c>
      <c r="W609">
        <v>0</v>
      </c>
      <c r="X609" t="s">
        <v>58</v>
      </c>
    </row>
    <row r="610" customHeight="1" spans="1:24">
      <c r="A610" t="s">
        <v>673</v>
      </c>
      <c r="B610">
        <v>20</v>
      </c>
      <c r="C610">
        <v>34</v>
      </c>
      <c r="D610" t="s">
        <v>53</v>
      </c>
      <c r="E610" t="s">
        <v>54</v>
      </c>
      <c r="F610" t="s">
        <v>58</v>
      </c>
      <c r="G610">
        <v>340</v>
      </c>
      <c r="H610">
        <v>35.61</v>
      </c>
      <c r="I610">
        <v>182</v>
      </c>
      <c r="J610">
        <v>384.6</v>
      </c>
      <c r="K610">
        <v>0</v>
      </c>
      <c r="L610" t="s">
        <v>62</v>
      </c>
      <c r="M610">
        <v>0</v>
      </c>
      <c r="N610">
        <v>1</v>
      </c>
      <c r="O610">
        <v>28.8</v>
      </c>
      <c r="P610">
        <v>0</v>
      </c>
      <c r="Q610">
        <v>1</v>
      </c>
      <c r="R610">
        <v>0</v>
      </c>
      <c r="S610" t="s">
        <v>63</v>
      </c>
      <c r="T610">
        <v>0</v>
      </c>
      <c r="U610">
        <v>0</v>
      </c>
      <c r="V610">
        <v>0</v>
      </c>
      <c r="W610">
        <v>0</v>
      </c>
      <c r="X610" t="s">
        <v>58</v>
      </c>
    </row>
    <row r="611" customHeight="1" spans="1:24">
      <c r="A611" t="s">
        <v>674</v>
      </c>
      <c r="B611">
        <v>55</v>
      </c>
      <c r="C611">
        <v>18</v>
      </c>
      <c r="D611" t="s">
        <v>72</v>
      </c>
      <c r="E611" t="s">
        <v>65</v>
      </c>
      <c r="F611" t="s">
        <v>58</v>
      </c>
      <c r="G611">
        <v>220</v>
      </c>
      <c r="H611">
        <v>23.22</v>
      </c>
      <c r="I611">
        <v>135</v>
      </c>
      <c r="J611">
        <v>1314.27</v>
      </c>
      <c r="K611">
        <v>0</v>
      </c>
      <c r="L611" t="s">
        <v>62</v>
      </c>
      <c r="M611">
        <v>1</v>
      </c>
      <c r="N611">
        <v>2</v>
      </c>
      <c r="O611">
        <v>26.6</v>
      </c>
      <c r="P611">
        <v>0</v>
      </c>
      <c r="Q611">
        <v>2</v>
      </c>
      <c r="R611">
        <v>0</v>
      </c>
      <c r="S611" t="s">
        <v>57</v>
      </c>
      <c r="T611">
        <v>1</v>
      </c>
      <c r="U611">
        <v>0</v>
      </c>
      <c r="V611">
        <v>0</v>
      </c>
      <c r="W611">
        <v>0</v>
      </c>
      <c r="X611" t="s">
        <v>58</v>
      </c>
    </row>
    <row r="612" customHeight="1" spans="1:24">
      <c r="A612" t="s">
        <v>675</v>
      </c>
      <c r="B612">
        <v>22</v>
      </c>
      <c r="C612">
        <v>35</v>
      </c>
      <c r="D612" t="s">
        <v>53</v>
      </c>
      <c r="E612" t="s">
        <v>69</v>
      </c>
      <c r="F612" t="s">
        <v>58</v>
      </c>
      <c r="G612">
        <v>698</v>
      </c>
      <c r="H612">
        <v>37.65</v>
      </c>
      <c r="I612">
        <v>159</v>
      </c>
      <c r="J612">
        <v>444.7</v>
      </c>
      <c r="K612">
        <v>0</v>
      </c>
      <c r="L612" t="s">
        <v>62</v>
      </c>
      <c r="M612">
        <v>0</v>
      </c>
      <c r="N612">
        <v>0</v>
      </c>
      <c r="O612">
        <v>28.9</v>
      </c>
      <c r="P612">
        <v>1</v>
      </c>
      <c r="Q612">
        <v>0</v>
      </c>
      <c r="R612">
        <v>0</v>
      </c>
      <c r="S612" t="s">
        <v>63</v>
      </c>
      <c r="T612">
        <v>0</v>
      </c>
      <c r="U612">
        <v>0</v>
      </c>
      <c r="V612">
        <v>0</v>
      </c>
      <c r="W612">
        <v>0</v>
      </c>
      <c r="X612" t="s">
        <v>58</v>
      </c>
    </row>
    <row r="613" customHeight="1" spans="1:24">
      <c r="A613" t="s">
        <v>676</v>
      </c>
      <c r="B613">
        <v>36</v>
      </c>
      <c r="C613">
        <v>63</v>
      </c>
      <c r="D613" t="s">
        <v>60</v>
      </c>
      <c r="E613" t="s">
        <v>54</v>
      </c>
      <c r="F613" t="s">
        <v>58</v>
      </c>
      <c r="G613">
        <v>386</v>
      </c>
      <c r="H613">
        <v>27.01</v>
      </c>
      <c r="I613">
        <v>98</v>
      </c>
      <c r="J613">
        <v>807.21</v>
      </c>
      <c r="K613">
        <v>1</v>
      </c>
      <c r="L613" t="s">
        <v>56</v>
      </c>
      <c r="M613">
        <v>0</v>
      </c>
      <c r="N613">
        <v>0</v>
      </c>
      <c r="O613">
        <v>30.4</v>
      </c>
      <c r="P613">
        <v>1</v>
      </c>
      <c r="Q613">
        <v>0</v>
      </c>
      <c r="R613">
        <v>0</v>
      </c>
      <c r="S613" t="s">
        <v>63</v>
      </c>
      <c r="T613">
        <v>0</v>
      </c>
      <c r="U613">
        <v>1</v>
      </c>
      <c r="V613">
        <v>0</v>
      </c>
      <c r="W613">
        <v>0</v>
      </c>
      <c r="X613" t="s">
        <v>58</v>
      </c>
    </row>
    <row r="614" customHeight="1" spans="1:24">
      <c r="A614" t="s">
        <v>677</v>
      </c>
      <c r="B614">
        <v>60</v>
      </c>
      <c r="C614">
        <v>32</v>
      </c>
      <c r="D614" t="s">
        <v>60</v>
      </c>
      <c r="E614" t="s">
        <v>61</v>
      </c>
      <c r="F614" t="s">
        <v>55</v>
      </c>
      <c r="G614">
        <v>497</v>
      </c>
      <c r="H614">
        <v>0.5</v>
      </c>
      <c r="I614">
        <v>128</v>
      </c>
      <c r="J614">
        <v>787.57</v>
      </c>
      <c r="K614">
        <v>0</v>
      </c>
      <c r="L614" t="s">
        <v>62</v>
      </c>
      <c r="M614">
        <v>1</v>
      </c>
      <c r="N614">
        <v>1</v>
      </c>
      <c r="O614">
        <v>20.7</v>
      </c>
      <c r="P614">
        <v>4</v>
      </c>
      <c r="Q614">
        <v>1</v>
      </c>
      <c r="R614">
        <v>1</v>
      </c>
      <c r="S614" t="s">
        <v>63</v>
      </c>
      <c r="T614">
        <v>1</v>
      </c>
      <c r="U614">
        <v>0</v>
      </c>
      <c r="V614">
        <v>1</v>
      </c>
      <c r="W614">
        <v>1</v>
      </c>
      <c r="X614" t="s">
        <v>55</v>
      </c>
    </row>
    <row r="615" customHeight="1" spans="1:24">
      <c r="A615" t="s">
        <v>678</v>
      </c>
      <c r="B615">
        <v>61</v>
      </c>
      <c r="C615">
        <v>7</v>
      </c>
      <c r="D615" t="s">
        <v>53</v>
      </c>
      <c r="E615" t="s">
        <v>76</v>
      </c>
      <c r="F615" t="s">
        <v>58</v>
      </c>
      <c r="G615">
        <v>319</v>
      </c>
      <c r="H615">
        <v>44.11</v>
      </c>
      <c r="I615">
        <v>76</v>
      </c>
      <c r="J615">
        <v>419.08</v>
      </c>
      <c r="K615">
        <v>1</v>
      </c>
      <c r="L615" t="s">
        <v>56</v>
      </c>
      <c r="M615">
        <v>0</v>
      </c>
      <c r="N615">
        <v>0</v>
      </c>
      <c r="O615">
        <v>25</v>
      </c>
      <c r="P615">
        <v>2</v>
      </c>
      <c r="Q615">
        <v>0</v>
      </c>
      <c r="R615">
        <v>0</v>
      </c>
      <c r="S615" t="s">
        <v>57</v>
      </c>
      <c r="T615">
        <v>0</v>
      </c>
      <c r="U615">
        <v>1</v>
      </c>
      <c r="V615">
        <v>0</v>
      </c>
      <c r="W615">
        <v>0</v>
      </c>
      <c r="X615" t="s">
        <v>58</v>
      </c>
    </row>
    <row r="616" customHeight="1" spans="1:24">
      <c r="A616" t="s">
        <v>679</v>
      </c>
      <c r="B616">
        <v>31</v>
      </c>
      <c r="C616">
        <v>24</v>
      </c>
      <c r="D616" t="s">
        <v>72</v>
      </c>
      <c r="E616" t="s">
        <v>54</v>
      </c>
      <c r="F616" t="s">
        <v>58</v>
      </c>
      <c r="G616">
        <v>242</v>
      </c>
      <c r="H616">
        <v>12.26</v>
      </c>
      <c r="I616">
        <v>208</v>
      </c>
      <c r="J616">
        <v>1091.53</v>
      </c>
      <c r="K616">
        <v>0</v>
      </c>
      <c r="L616" t="s">
        <v>62</v>
      </c>
      <c r="M616">
        <v>0</v>
      </c>
      <c r="N616">
        <v>1</v>
      </c>
      <c r="O616">
        <v>44.9</v>
      </c>
      <c r="P616">
        <v>1</v>
      </c>
      <c r="Q616">
        <v>1</v>
      </c>
      <c r="R616">
        <v>0</v>
      </c>
      <c r="S616" t="s">
        <v>57</v>
      </c>
      <c r="T616">
        <v>0</v>
      </c>
      <c r="U616">
        <v>0</v>
      </c>
      <c r="V616">
        <v>0</v>
      </c>
      <c r="W616">
        <v>0</v>
      </c>
      <c r="X616" t="s">
        <v>58</v>
      </c>
    </row>
    <row r="617" customHeight="1" spans="1:24">
      <c r="A617" t="s">
        <v>680</v>
      </c>
      <c r="B617">
        <v>47</v>
      </c>
      <c r="C617">
        <v>57</v>
      </c>
      <c r="D617" t="s">
        <v>72</v>
      </c>
      <c r="E617" t="s">
        <v>65</v>
      </c>
      <c r="F617" t="s">
        <v>58</v>
      </c>
      <c r="G617">
        <v>365</v>
      </c>
      <c r="H617">
        <v>32.96</v>
      </c>
      <c r="I617">
        <v>227</v>
      </c>
      <c r="J617">
        <v>1160.93</v>
      </c>
      <c r="K617">
        <v>1</v>
      </c>
      <c r="L617" t="s">
        <v>56</v>
      </c>
      <c r="M617">
        <v>1</v>
      </c>
      <c r="N617">
        <v>2</v>
      </c>
      <c r="O617">
        <v>25.7</v>
      </c>
      <c r="P617">
        <v>0</v>
      </c>
      <c r="Q617">
        <v>0</v>
      </c>
      <c r="R617">
        <v>0</v>
      </c>
      <c r="S617" t="s">
        <v>63</v>
      </c>
      <c r="T617">
        <v>1</v>
      </c>
      <c r="U617">
        <v>1</v>
      </c>
      <c r="V617">
        <v>0</v>
      </c>
      <c r="W617">
        <v>0</v>
      </c>
      <c r="X617" t="s">
        <v>58</v>
      </c>
    </row>
    <row r="618" customHeight="1" spans="1:24">
      <c r="A618" t="s">
        <v>681</v>
      </c>
      <c r="B618">
        <v>28</v>
      </c>
      <c r="C618">
        <v>38</v>
      </c>
      <c r="D618" t="s">
        <v>60</v>
      </c>
      <c r="E618" t="s">
        <v>65</v>
      </c>
      <c r="F618" t="s">
        <v>55</v>
      </c>
      <c r="G618">
        <v>565</v>
      </c>
      <c r="H618">
        <v>18.27</v>
      </c>
      <c r="I618">
        <v>217</v>
      </c>
      <c r="J618">
        <v>740.16</v>
      </c>
      <c r="K618">
        <v>1</v>
      </c>
      <c r="L618" t="s">
        <v>56</v>
      </c>
      <c r="M618">
        <v>0</v>
      </c>
      <c r="N618">
        <v>1</v>
      </c>
      <c r="O618">
        <v>24.5</v>
      </c>
      <c r="P618">
        <v>1</v>
      </c>
      <c r="Q618">
        <v>1</v>
      </c>
      <c r="R618">
        <v>0</v>
      </c>
      <c r="S618" t="s">
        <v>63</v>
      </c>
      <c r="T618">
        <v>0</v>
      </c>
      <c r="U618">
        <v>1</v>
      </c>
      <c r="V618">
        <v>0</v>
      </c>
      <c r="W618">
        <v>1</v>
      </c>
      <c r="X618" t="s">
        <v>55</v>
      </c>
    </row>
    <row r="619" customHeight="1" spans="1:24">
      <c r="A619" t="s">
        <v>682</v>
      </c>
      <c r="B619">
        <v>52</v>
      </c>
      <c r="C619">
        <v>41</v>
      </c>
      <c r="D619" t="s">
        <v>72</v>
      </c>
      <c r="E619" t="s">
        <v>61</v>
      </c>
      <c r="F619" t="s">
        <v>58</v>
      </c>
      <c r="G619">
        <v>322</v>
      </c>
      <c r="H619">
        <v>28.61</v>
      </c>
      <c r="I619">
        <v>91</v>
      </c>
      <c r="J619">
        <v>992.74</v>
      </c>
      <c r="K619">
        <v>1</v>
      </c>
      <c r="L619" t="s">
        <v>56</v>
      </c>
      <c r="M619">
        <v>2</v>
      </c>
      <c r="N619">
        <v>3</v>
      </c>
      <c r="O619">
        <v>25.2</v>
      </c>
      <c r="P619">
        <v>1</v>
      </c>
      <c r="Q619">
        <v>1</v>
      </c>
      <c r="R619">
        <v>0</v>
      </c>
      <c r="S619" t="s">
        <v>63</v>
      </c>
      <c r="T619">
        <v>1</v>
      </c>
      <c r="U619">
        <v>1</v>
      </c>
      <c r="V619">
        <v>0</v>
      </c>
      <c r="W619">
        <v>0</v>
      </c>
      <c r="X619" t="s">
        <v>58</v>
      </c>
    </row>
    <row r="620" customHeight="1" spans="1:24">
      <c r="A620" t="s">
        <v>683</v>
      </c>
      <c r="B620">
        <v>18</v>
      </c>
      <c r="C620">
        <v>32</v>
      </c>
      <c r="D620" t="s">
        <v>53</v>
      </c>
      <c r="E620" t="s">
        <v>54</v>
      </c>
      <c r="F620" t="s">
        <v>55</v>
      </c>
      <c r="G620">
        <v>269</v>
      </c>
      <c r="H620">
        <v>11.12</v>
      </c>
      <c r="I620">
        <v>53</v>
      </c>
      <c r="J620">
        <v>463.95</v>
      </c>
      <c r="K620">
        <v>2</v>
      </c>
      <c r="L620" t="s">
        <v>56</v>
      </c>
      <c r="M620">
        <v>0</v>
      </c>
      <c r="N620">
        <v>0</v>
      </c>
      <c r="O620">
        <v>21.4</v>
      </c>
      <c r="P620">
        <v>0</v>
      </c>
      <c r="Q620">
        <v>0</v>
      </c>
      <c r="R620">
        <v>2</v>
      </c>
      <c r="S620" t="s">
        <v>63</v>
      </c>
      <c r="T620">
        <v>0</v>
      </c>
      <c r="U620">
        <v>1</v>
      </c>
      <c r="V620">
        <v>0</v>
      </c>
      <c r="W620">
        <v>1</v>
      </c>
      <c r="X620" t="s">
        <v>55</v>
      </c>
    </row>
    <row r="621" customHeight="1" spans="1:24">
      <c r="A621" t="s">
        <v>684</v>
      </c>
      <c r="B621">
        <v>65</v>
      </c>
      <c r="C621">
        <v>22</v>
      </c>
      <c r="D621" t="s">
        <v>53</v>
      </c>
      <c r="E621" t="s">
        <v>54</v>
      </c>
      <c r="F621" t="s">
        <v>58</v>
      </c>
      <c r="G621">
        <v>423</v>
      </c>
      <c r="H621">
        <v>24.26</v>
      </c>
      <c r="I621">
        <v>209</v>
      </c>
      <c r="J621">
        <v>623.03</v>
      </c>
      <c r="K621">
        <v>0</v>
      </c>
      <c r="L621" t="s">
        <v>62</v>
      </c>
      <c r="M621">
        <v>0</v>
      </c>
      <c r="N621">
        <v>1</v>
      </c>
      <c r="O621">
        <v>18.8</v>
      </c>
      <c r="P621">
        <v>1</v>
      </c>
      <c r="Q621">
        <v>1</v>
      </c>
      <c r="R621">
        <v>0</v>
      </c>
      <c r="S621" t="s">
        <v>57</v>
      </c>
      <c r="T621">
        <v>0</v>
      </c>
      <c r="U621">
        <v>0</v>
      </c>
      <c r="V621">
        <v>0</v>
      </c>
      <c r="W621">
        <v>0</v>
      </c>
      <c r="X621" t="s">
        <v>58</v>
      </c>
    </row>
    <row r="622" customHeight="1" spans="1:24">
      <c r="A622" t="s">
        <v>685</v>
      </c>
      <c r="B622">
        <v>19</v>
      </c>
      <c r="C622">
        <v>44</v>
      </c>
      <c r="D622" t="s">
        <v>60</v>
      </c>
      <c r="E622" t="s">
        <v>61</v>
      </c>
      <c r="F622" t="s">
        <v>58</v>
      </c>
      <c r="G622">
        <v>475</v>
      </c>
      <c r="H622">
        <v>15.47</v>
      </c>
      <c r="I622">
        <v>158</v>
      </c>
      <c r="J622">
        <v>687.16</v>
      </c>
      <c r="K622">
        <v>0</v>
      </c>
      <c r="L622" t="s">
        <v>62</v>
      </c>
      <c r="M622">
        <v>1</v>
      </c>
      <c r="N622">
        <v>2</v>
      </c>
      <c r="O622">
        <v>26.5</v>
      </c>
      <c r="P622">
        <v>1</v>
      </c>
      <c r="Q622">
        <v>1</v>
      </c>
      <c r="R622">
        <v>0</v>
      </c>
      <c r="S622" t="s">
        <v>63</v>
      </c>
      <c r="T622">
        <v>1</v>
      </c>
      <c r="U622">
        <v>0</v>
      </c>
      <c r="V622">
        <v>0</v>
      </c>
      <c r="W622">
        <v>0</v>
      </c>
      <c r="X622" t="s">
        <v>58</v>
      </c>
    </row>
    <row r="623" customHeight="1" spans="1:24">
      <c r="A623" t="s">
        <v>686</v>
      </c>
      <c r="B623">
        <v>53</v>
      </c>
      <c r="C623">
        <v>46</v>
      </c>
      <c r="D623" t="s">
        <v>72</v>
      </c>
      <c r="E623" t="s">
        <v>69</v>
      </c>
      <c r="F623" t="s">
        <v>58</v>
      </c>
      <c r="G623">
        <v>646</v>
      </c>
      <c r="H623">
        <v>33.79</v>
      </c>
      <c r="I623">
        <v>143</v>
      </c>
      <c r="J623">
        <v>1105.71</v>
      </c>
      <c r="K623">
        <v>0</v>
      </c>
      <c r="L623" t="s">
        <v>62</v>
      </c>
      <c r="M623">
        <v>2</v>
      </c>
      <c r="N623">
        <v>4</v>
      </c>
      <c r="O623">
        <v>17.9</v>
      </c>
      <c r="P623">
        <v>0</v>
      </c>
      <c r="Q623">
        <v>0</v>
      </c>
      <c r="R623">
        <v>0</v>
      </c>
      <c r="S623" t="s">
        <v>63</v>
      </c>
      <c r="T623">
        <v>1</v>
      </c>
      <c r="U623">
        <v>0</v>
      </c>
      <c r="V623">
        <v>0</v>
      </c>
      <c r="W623">
        <v>0</v>
      </c>
      <c r="X623" t="s">
        <v>58</v>
      </c>
    </row>
    <row r="624" customHeight="1" spans="1:24">
      <c r="A624" t="s">
        <v>687</v>
      </c>
      <c r="B624">
        <v>41</v>
      </c>
      <c r="C624">
        <v>65</v>
      </c>
      <c r="D624" t="s">
        <v>53</v>
      </c>
      <c r="E624" t="s">
        <v>69</v>
      </c>
      <c r="F624" t="s">
        <v>58</v>
      </c>
      <c r="G624">
        <v>453</v>
      </c>
      <c r="H624">
        <v>22.39</v>
      </c>
      <c r="I624">
        <v>76</v>
      </c>
      <c r="J624">
        <v>450.29</v>
      </c>
      <c r="K624">
        <v>1</v>
      </c>
      <c r="L624" t="s">
        <v>56</v>
      </c>
      <c r="M624">
        <v>0</v>
      </c>
      <c r="N624">
        <v>0</v>
      </c>
      <c r="O624">
        <v>22.3</v>
      </c>
      <c r="P624">
        <v>0</v>
      </c>
      <c r="Q624">
        <v>0</v>
      </c>
      <c r="R624">
        <v>0</v>
      </c>
      <c r="S624" t="s">
        <v>63</v>
      </c>
      <c r="T624">
        <v>0</v>
      </c>
      <c r="U624">
        <v>1</v>
      </c>
      <c r="V624">
        <v>0</v>
      </c>
      <c r="W624">
        <v>0</v>
      </c>
      <c r="X624" t="s">
        <v>58</v>
      </c>
    </row>
    <row r="625" customHeight="1" spans="1:24">
      <c r="A625" t="s">
        <v>688</v>
      </c>
      <c r="B625">
        <v>30</v>
      </c>
      <c r="C625">
        <v>45</v>
      </c>
      <c r="D625" t="s">
        <v>53</v>
      </c>
      <c r="E625" t="s">
        <v>54</v>
      </c>
      <c r="F625" t="s">
        <v>58</v>
      </c>
      <c r="G625">
        <v>497</v>
      </c>
      <c r="H625">
        <v>27.36</v>
      </c>
      <c r="I625">
        <v>150</v>
      </c>
      <c r="J625">
        <v>467.95</v>
      </c>
      <c r="K625">
        <v>0</v>
      </c>
      <c r="L625" t="s">
        <v>62</v>
      </c>
      <c r="M625">
        <v>3</v>
      </c>
      <c r="N625">
        <v>3</v>
      </c>
      <c r="O625">
        <v>14.5</v>
      </c>
      <c r="P625">
        <v>1</v>
      </c>
      <c r="Q625">
        <v>0</v>
      </c>
      <c r="R625">
        <v>0</v>
      </c>
      <c r="S625" t="s">
        <v>63</v>
      </c>
      <c r="T625">
        <v>1</v>
      </c>
      <c r="U625">
        <v>0</v>
      </c>
      <c r="V625">
        <v>0</v>
      </c>
      <c r="W625">
        <v>0</v>
      </c>
      <c r="X625" t="s">
        <v>58</v>
      </c>
    </row>
    <row r="626" customHeight="1" spans="1:24">
      <c r="A626" t="s">
        <v>689</v>
      </c>
      <c r="B626">
        <v>49</v>
      </c>
      <c r="C626">
        <v>72</v>
      </c>
      <c r="D626" t="s">
        <v>60</v>
      </c>
      <c r="E626" t="s">
        <v>76</v>
      </c>
      <c r="F626" t="s">
        <v>58</v>
      </c>
      <c r="G626">
        <v>508</v>
      </c>
      <c r="H626">
        <v>0.5</v>
      </c>
      <c r="I626">
        <v>44</v>
      </c>
      <c r="J626">
        <v>742.52</v>
      </c>
      <c r="K626">
        <v>0</v>
      </c>
      <c r="L626" t="s">
        <v>62</v>
      </c>
      <c r="M626">
        <v>0</v>
      </c>
      <c r="N626">
        <v>0</v>
      </c>
      <c r="O626">
        <v>23.7</v>
      </c>
      <c r="P626">
        <v>1</v>
      </c>
      <c r="Q626">
        <v>0</v>
      </c>
      <c r="R626">
        <v>0</v>
      </c>
      <c r="S626" t="s">
        <v>63</v>
      </c>
      <c r="T626">
        <v>0</v>
      </c>
      <c r="U626">
        <v>0</v>
      </c>
      <c r="V626">
        <v>1</v>
      </c>
      <c r="W626">
        <v>0</v>
      </c>
      <c r="X626" t="s">
        <v>58</v>
      </c>
    </row>
    <row r="627" customHeight="1" spans="1:24">
      <c r="A627" t="s">
        <v>690</v>
      </c>
      <c r="B627">
        <v>26</v>
      </c>
      <c r="C627">
        <v>60</v>
      </c>
      <c r="D627" t="s">
        <v>72</v>
      </c>
      <c r="E627" t="s">
        <v>65</v>
      </c>
      <c r="F627" t="s">
        <v>58</v>
      </c>
      <c r="G627">
        <v>227</v>
      </c>
      <c r="H627">
        <v>17.14</v>
      </c>
      <c r="I627">
        <v>164</v>
      </c>
      <c r="J627">
        <v>1048.45</v>
      </c>
      <c r="K627">
        <v>1</v>
      </c>
      <c r="L627" t="s">
        <v>56</v>
      </c>
      <c r="M627">
        <v>1</v>
      </c>
      <c r="N627">
        <v>2</v>
      </c>
      <c r="O627">
        <v>31</v>
      </c>
      <c r="P627">
        <v>2</v>
      </c>
      <c r="Q627">
        <v>1</v>
      </c>
      <c r="R627">
        <v>0</v>
      </c>
      <c r="S627" t="s">
        <v>63</v>
      </c>
      <c r="T627">
        <v>1</v>
      </c>
      <c r="U627">
        <v>1</v>
      </c>
      <c r="V627">
        <v>0</v>
      </c>
      <c r="W627">
        <v>0</v>
      </c>
      <c r="X627" t="s">
        <v>58</v>
      </c>
    </row>
    <row r="628" customHeight="1" spans="1:24">
      <c r="A628" t="s">
        <v>691</v>
      </c>
      <c r="B628">
        <v>51</v>
      </c>
      <c r="C628">
        <v>6</v>
      </c>
      <c r="D628" t="s">
        <v>53</v>
      </c>
      <c r="E628" t="s">
        <v>76</v>
      </c>
      <c r="F628" t="s">
        <v>55</v>
      </c>
      <c r="G628">
        <v>256</v>
      </c>
      <c r="H628">
        <v>22.11</v>
      </c>
      <c r="I628">
        <v>217</v>
      </c>
      <c r="J628">
        <v>390.83</v>
      </c>
      <c r="K628">
        <v>0</v>
      </c>
      <c r="L628" t="s">
        <v>62</v>
      </c>
      <c r="M628">
        <v>2</v>
      </c>
      <c r="N628">
        <v>2</v>
      </c>
      <c r="O628">
        <v>21.5</v>
      </c>
      <c r="P628">
        <v>1</v>
      </c>
      <c r="Q628">
        <v>0</v>
      </c>
      <c r="R628">
        <v>0</v>
      </c>
      <c r="S628" t="s">
        <v>66</v>
      </c>
      <c r="T628">
        <v>1</v>
      </c>
      <c r="U628">
        <v>0</v>
      </c>
      <c r="V628">
        <v>0</v>
      </c>
      <c r="W628">
        <v>1</v>
      </c>
      <c r="X628" t="s">
        <v>55</v>
      </c>
    </row>
    <row r="629" customHeight="1" spans="1:24">
      <c r="A629" t="s">
        <v>692</v>
      </c>
      <c r="B629">
        <v>55</v>
      </c>
      <c r="C629">
        <v>29</v>
      </c>
      <c r="D629" t="s">
        <v>60</v>
      </c>
      <c r="E629" t="s">
        <v>65</v>
      </c>
      <c r="F629" t="s">
        <v>58</v>
      </c>
      <c r="G629">
        <v>237</v>
      </c>
      <c r="H629">
        <v>20.24</v>
      </c>
      <c r="I629">
        <v>234</v>
      </c>
      <c r="J629">
        <v>728.04</v>
      </c>
      <c r="K629">
        <v>0</v>
      </c>
      <c r="L629" t="s">
        <v>62</v>
      </c>
      <c r="M629">
        <v>0</v>
      </c>
      <c r="N629">
        <v>0</v>
      </c>
      <c r="O629">
        <v>23.7</v>
      </c>
      <c r="P629">
        <v>0</v>
      </c>
      <c r="Q629">
        <v>1</v>
      </c>
      <c r="R629">
        <v>1</v>
      </c>
      <c r="S629" t="s">
        <v>63</v>
      </c>
      <c r="T629">
        <v>0</v>
      </c>
      <c r="U629">
        <v>0</v>
      </c>
      <c r="V629">
        <v>0</v>
      </c>
      <c r="W629">
        <v>0</v>
      </c>
      <c r="X629" t="s">
        <v>58</v>
      </c>
    </row>
    <row r="630" customHeight="1" spans="1:24">
      <c r="A630" t="s">
        <v>693</v>
      </c>
      <c r="B630">
        <v>44</v>
      </c>
      <c r="C630">
        <v>28</v>
      </c>
      <c r="D630" t="s">
        <v>60</v>
      </c>
      <c r="E630" t="s">
        <v>61</v>
      </c>
      <c r="F630" t="s">
        <v>58</v>
      </c>
      <c r="G630">
        <v>200</v>
      </c>
      <c r="H630">
        <v>27.61</v>
      </c>
      <c r="I630">
        <v>170</v>
      </c>
      <c r="J630">
        <v>734.27</v>
      </c>
      <c r="K630">
        <v>0</v>
      </c>
      <c r="L630" t="s">
        <v>62</v>
      </c>
      <c r="M630">
        <v>0</v>
      </c>
      <c r="N630">
        <v>0</v>
      </c>
      <c r="O630">
        <v>31.1</v>
      </c>
      <c r="P630">
        <v>2</v>
      </c>
      <c r="Q630">
        <v>0</v>
      </c>
      <c r="R630">
        <v>0</v>
      </c>
      <c r="S630" t="s">
        <v>63</v>
      </c>
      <c r="T630">
        <v>0</v>
      </c>
      <c r="U630">
        <v>0</v>
      </c>
      <c r="V630">
        <v>0</v>
      </c>
      <c r="W630">
        <v>0</v>
      </c>
      <c r="X630" t="s">
        <v>58</v>
      </c>
    </row>
    <row r="631" customHeight="1" spans="1:24">
      <c r="A631" t="s">
        <v>694</v>
      </c>
      <c r="B631">
        <v>38</v>
      </c>
      <c r="C631">
        <v>1</v>
      </c>
      <c r="D631" t="s">
        <v>60</v>
      </c>
      <c r="E631" t="s">
        <v>54</v>
      </c>
      <c r="F631" t="s">
        <v>58</v>
      </c>
      <c r="G631">
        <v>519</v>
      </c>
      <c r="H631">
        <v>14.34</v>
      </c>
      <c r="I631">
        <v>23</v>
      </c>
      <c r="J631">
        <v>733.97</v>
      </c>
      <c r="K631">
        <v>0</v>
      </c>
      <c r="L631" t="s">
        <v>62</v>
      </c>
      <c r="M631">
        <v>2</v>
      </c>
      <c r="N631">
        <v>4</v>
      </c>
      <c r="O631">
        <v>25.4</v>
      </c>
      <c r="P631">
        <v>0</v>
      </c>
      <c r="Q631">
        <v>2</v>
      </c>
      <c r="R631">
        <v>0</v>
      </c>
      <c r="S631" t="s">
        <v>66</v>
      </c>
      <c r="T631">
        <v>1</v>
      </c>
      <c r="U631">
        <v>0</v>
      </c>
      <c r="V631">
        <v>0</v>
      </c>
      <c r="W631">
        <v>0</v>
      </c>
      <c r="X631" t="s">
        <v>58</v>
      </c>
    </row>
    <row r="632" customHeight="1" spans="1:24">
      <c r="A632" t="s">
        <v>695</v>
      </c>
      <c r="B632">
        <v>44</v>
      </c>
      <c r="C632">
        <v>14</v>
      </c>
      <c r="D632" t="s">
        <v>53</v>
      </c>
      <c r="E632" t="s">
        <v>69</v>
      </c>
      <c r="F632" t="s">
        <v>58</v>
      </c>
      <c r="G632">
        <v>444</v>
      </c>
      <c r="H632">
        <v>18.49</v>
      </c>
      <c r="I632">
        <v>134</v>
      </c>
      <c r="J632">
        <v>503.95</v>
      </c>
      <c r="K632">
        <v>0</v>
      </c>
      <c r="L632" t="s">
        <v>62</v>
      </c>
      <c r="M632">
        <v>0</v>
      </c>
      <c r="N632">
        <v>0</v>
      </c>
      <c r="O632">
        <v>12.1</v>
      </c>
      <c r="P632">
        <v>3</v>
      </c>
      <c r="Q632">
        <v>0</v>
      </c>
      <c r="R632">
        <v>1</v>
      </c>
      <c r="S632" t="s">
        <v>57</v>
      </c>
      <c r="T632">
        <v>0</v>
      </c>
      <c r="U632">
        <v>0</v>
      </c>
      <c r="V632">
        <v>0</v>
      </c>
      <c r="W632">
        <v>0</v>
      </c>
      <c r="X632" t="s">
        <v>58</v>
      </c>
    </row>
    <row r="633" customHeight="1" spans="1:24">
      <c r="A633" t="s">
        <v>696</v>
      </c>
      <c r="B633">
        <v>73</v>
      </c>
      <c r="C633">
        <v>55</v>
      </c>
      <c r="D633" t="s">
        <v>53</v>
      </c>
      <c r="E633" t="s">
        <v>76</v>
      </c>
      <c r="F633" t="s">
        <v>58</v>
      </c>
      <c r="G633">
        <v>412</v>
      </c>
      <c r="H633">
        <v>29.81</v>
      </c>
      <c r="I633">
        <v>270</v>
      </c>
      <c r="J633">
        <v>538.73</v>
      </c>
      <c r="K633">
        <v>1</v>
      </c>
      <c r="L633" t="s">
        <v>56</v>
      </c>
      <c r="M633">
        <v>1</v>
      </c>
      <c r="N633">
        <v>1</v>
      </c>
      <c r="O633">
        <v>33.3</v>
      </c>
      <c r="P633">
        <v>1</v>
      </c>
      <c r="Q633">
        <v>0</v>
      </c>
      <c r="R633">
        <v>0</v>
      </c>
      <c r="S633" t="s">
        <v>63</v>
      </c>
      <c r="T633">
        <v>1</v>
      </c>
      <c r="U633">
        <v>1</v>
      </c>
      <c r="V633">
        <v>0</v>
      </c>
      <c r="W633">
        <v>0</v>
      </c>
      <c r="X633" t="s">
        <v>58</v>
      </c>
    </row>
    <row r="634" customHeight="1" spans="1:24">
      <c r="A634" t="s">
        <v>697</v>
      </c>
      <c r="B634">
        <v>61</v>
      </c>
      <c r="C634">
        <v>26</v>
      </c>
      <c r="D634" t="s">
        <v>60</v>
      </c>
      <c r="E634" t="s">
        <v>54</v>
      </c>
      <c r="F634" t="s">
        <v>58</v>
      </c>
      <c r="G634">
        <v>20</v>
      </c>
      <c r="H634">
        <v>0.5</v>
      </c>
      <c r="I634">
        <v>59</v>
      </c>
      <c r="J634">
        <v>667.54</v>
      </c>
      <c r="K634">
        <v>1</v>
      </c>
      <c r="L634" t="s">
        <v>56</v>
      </c>
      <c r="M634">
        <v>0</v>
      </c>
      <c r="N634">
        <v>0</v>
      </c>
      <c r="O634">
        <v>7.2</v>
      </c>
      <c r="P634">
        <v>1</v>
      </c>
      <c r="Q634">
        <v>1</v>
      </c>
      <c r="R634">
        <v>0</v>
      </c>
      <c r="S634" t="s">
        <v>63</v>
      </c>
      <c r="T634">
        <v>0</v>
      </c>
      <c r="U634">
        <v>1</v>
      </c>
      <c r="V634">
        <v>1</v>
      </c>
      <c r="W634">
        <v>0</v>
      </c>
      <c r="X634" t="s">
        <v>58</v>
      </c>
    </row>
    <row r="635" customHeight="1" spans="1:24">
      <c r="A635" t="s">
        <v>698</v>
      </c>
      <c r="B635">
        <v>18</v>
      </c>
      <c r="C635">
        <v>11</v>
      </c>
      <c r="D635" t="s">
        <v>60</v>
      </c>
      <c r="E635" t="s">
        <v>65</v>
      </c>
      <c r="F635" t="s">
        <v>58</v>
      </c>
      <c r="G635">
        <v>708</v>
      </c>
      <c r="H635">
        <v>23.89</v>
      </c>
      <c r="I635">
        <v>116</v>
      </c>
      <c r="J635">
        <v>488.78</v>
      </c>
      <c r="K635">
        <v>0</v>
      </c>
      <c r="L635" t="s">
        <v>62</v>
      </c>
      <c r="M635">
        <v>0</v>
      </c>
      <c r="N635">
        <v>0</v>
      </c>
      <c r="O635">
        <v>36.5</v>
      </c>
      <c r="P635">
        <v>2</v>
      </c>
      <c r="Q635">
        <v>2</v>
      </c>
      <c r="R635">
        <v>1</v>
      </c>
      <c r="S635" t="s">
        <v>57</v>
      </c>
      <c r="T635">
        <v>0</v>
      </c>
      <c r="U635">
        <v>0</v>
      </c>
      <c r="V635">
        <v>0</v>
      </c>
      <c r="W635">
        <v>0</v>
      </c>
      <c r="X635" t="s">
        <v>58</v>
      </c>
    </row>
    <row r="636" customHeight="1" spans="1:24">
      <c r="A636" t="s">
        <v>699</v>
      </c>
      <c r="B636">
        <v>34</v>
      </c>
      <c r="C636">
        <v>21</v>
      </c>
      <c r="D636" t="s">
        <v>72</v>
      </c>
      <c r="E636" t="s">
        <v>54</v>
      </c>
      <c r="F636" t="s">
        <v>58</v>
      </c>
      <c r="G636">
        <v>266</v>
      </c>
      <c r="H636">
        <v>14.66</v>
      </c>
      <c r="I636">
        <v>219</v>
      </c>
      <c r="J636">
        <v>1160.49</v>
      </c>
      <c r="K636">
        <v>0</v>
      </c>
      <c r="L636" t="s">
        <v>62</v>
      </c>
      <c r="M636">
        <v>0</v>
      </c>
      <c r="N636">
        <v>0</v>
      </c>
      <c r="O636">
        <v>23.3</v>
      </c>
      <c r="P636">
        <v>0</v>
      </c>
      <c r="Q636">
        <v>1</v>
      </c>
      <c r="R636">
        <v>0</v>
      </c>
      <c r="S636" t="s">
        <v>57</v>
      </c>
      <c r="T636">
        <v>0</v>
      </c>
      <c r="U636">
        <v>0</v>
      </c>
      <c r="V636">
        <v>0</v>
      </c>
      <c r="W636">
        <v>0</v>
      </c>
      <c r="X636" t="s">
        <v>58</v>
      </c>
    </row>
    <row r="637" customHeight="1" spans="1:24">
      <c r="A637" t="s">
        <v>700</v>
      </c>
      <c r="B637">
        <v>19</v>
      </c>
      <c r="C637">
        <v>20</v>
      </c>
      <c r="D637" t="s">
        <v>60</v>
      </c>
      <c r="E637" t="s">
        <v>69</v>
      </c>
      <c r="F637" t="s">
        <v>55</v>
      </c>
      <c r="G637">
        <v>708</v>
      </c>
      <c r="H637">
        <v>8.88</v>
      </c>
      <c r="I637">
        <v>163</v>
      </c>
      <c r="J637">
        <v>710.44</v>
      </c>
      <c r="K637">
        <v>0</v>
      </c>
      <c r="L637" t="s">
        <v>62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 t="s">
        <v>57</v>
      </c>
      <c r="T637">
        <v>0</v>
      </c>
      <c r="U637">
        <v>0</v>
      </c>
      <c r="V637">
        <v>0</v>
      </c>
      <c r="W637">
        <v>1</v>
      </c>
      <c r="X637" t="s">
        <v>55</v>
      </c>
    </row>
    <row r="638" customHeight="1" spans="1:24">
      <c r="A638" t="s">
        <v>701</v>
      </c>
      <c r="B638">
        <v>31</v>
      </c>
      <c r="C638">
        <v>13</v>
      </c>
      <c r="D638" t="s">
        <v>60</v>
      </c>
      <c r="E638" t="s">
        <v>61</v>
      </c>
      <c r="F638" t="s">
        <v>58</v>
      </c>
      <c r="G638">
        <v>183</v>
      </c>
      <c r="H638">
        <v>21.37</v>
      </c>
      <c r="I638">
        <v>294</v>
      </c>
      <c r="J638">
        <v>699</v>
      </c>
      <c r="K638">
        <v>1</v>
      </c>
      <c r="L638" t="s">
        <v>56</v>
      </c>
      <c r="M638">
        <v>1</v>
      </c>
      <c r="N638">
        <v>2</v>
      </c>
      <c r="O638">
        <v>26.1</v>
      </c>
      <c r="P638">
        <v>1</v>
      </c>
      <c r="Q638">
        <v>0</v>
      </c>
      <c r="R638">
        <v>0</v>
      </c>
      <c r="S638" t="s">
        <v>57</v>
      </c>
      <c r="T638">
        <v>1</v>
      </c>
      <c r="U638">
        <v>1</v>
      </c>
      <c r="V638">
        <v>0</v>
      </c>
      <c r="W638">
        <v>0</v>
      </c>
      <c r="X638" t="s">
        <v>58</v>
      </c>
    </row>
    <row r="639" customHeight="1" spans="1:24">
      <c r="A639" t="s">
        <v>702</v>
      </c>
      <c r="B639">
        <v>63</v>
      </c>
      <c r="C639">
        <v>8</v>
      </c>
      <c r="D639" t="s">
        <v>72</v>
      </c>
      <c r="E639" t="s">
        <v>69</v>
      </c>
      <c r="F639" t="s">
        <v>58</v>
      </c>
      <c r="G639">
        <v>278</v>
      </c>
      <c r="H639">
        <v>30.27</v>
      </c>
      <c r="I639">
        <v>69</v>
      </c>
      <c r="J639">
        <v>1002.39</v>
      </c>
      <c r="K639">
        <v>0</v>
      </c>
      <c r="L639" t="s">
        <v>62</v>
      </c>
      <c r="M639">
        <v>1</v>
      </c>
      <c r="N639">
        <v>1</v>
      </c>
      <c r="O639">
        <v>19.1</v>
      </c>
      <c r="P639">
        <v>1</v>
      </c>
      <c r="Q639">
        <v>1</v>
      </c>
      <c r="R639">
        <v>0</v>
      </c>
      <c r="S639" t="s">
        <v>57</v>
      </c>
      <c r="T639">
        <v>1</v>
      </c>
      <c r="U639">
        <v>0</v>
      </c>
      <c r="V639">
        <v>0</v>
      </c>
      <c r="W639">
        <v>0</v>
      </c>
      <c r="X639" t="s">
        <v>58</v>
      </c>
    </row>
    <row r="640" customHeight="1" spans="1:24">
      <c r="A640" t="s">
        <v>703</v>
      </c>
      <c r="B640">
        <v>67</v>
      </c>
      <c r="C640">
        <v>56</v>
      </c>
      <c r="D640" t="s">
        <v>60</v>
      </c>
      <c r="E640" t="s">
        <v>69</v>
      </c>
      <c r="F640" t="s">
        <v>58</v>
      </c>
      <c r="G640">
        <v>70</v>
      </c>
      <c r="H640">
        <v>28.39</v>
      </c>
      <c r="I640">
        <v>51</v>
      </c>
      <c r="J640">
        <v>836.06</v>
      </c>
      <c r="K640">
        <v>1</v>
      </c>
      <c r="L640" t="s">
        <v>56</v>
      </c>
      <c r="M640">
        <v>0</v>
      </c>
      <c r="N640">
        <v>0</v>
      </c>
      <c r="O640">
        <v>17.3</v>
      </c>
      <c r="P640">
        <v>1</v>
      </c>
      <c r="Q640">
        <v>1</v>
      </c>
      <c r="R640">
        <v>0</v>
      </c>
      <c r="S640" t="s">
        <v>63</v>
      </c>
      <c r="T640">
        <v>0</v>
      </c>
      <c r="U640">
        <v>1</v>
      </c>
      <c r="V640">
        <v>0</v>
      </c>
      <c r="W640">
        <v>0</v>
      </c>
      <c r="X640" t="s">
        <v>58</v>
      </c>
    </row>
    <row r="641" customHeight="1" spans="1:24">
      <c r="A641" t="s">
        <v>704</v>
      </c>
      <c r="B641">
        <v>44</v>
      </c>
      <c r="C641">
        <v>60</v>
      </c>
      <c r="D641" t="s">
        <v>60</v>
      </c>
      <c r="E641" t="s">
        <v>54</v>
      </c>
      <c r="F641" t="s">
        <v>58</v>
      </c>
      <c r="G641">
        <v>454</v>
      </c>
      <c r="H641">
        <v>16.65</v>
      </c>
      <c r="I641">
        <v>206</v>
      </c>
      <c r="J641">
        <v>757.79</v>
      </c>
      <c r="K641">
        <v>0</v>
      </c>
      <c r="L641" t="s">
        <v>62</v>
      </c>
      <c r="M641">
        <v>0</v>
      </c>
      <c r="N641">
        <v>0</v>
      </c>
      <c r="O641">
        <v>23.7</v>
      </c>
      <c r="P641">
        <v>1</v>
      </c>
      <c r="Q641">
        <v>0</v>
      </c>
      <c r="R641">
        <v>0</v>
      </c>
      <c r="S641" t="s">
        <v>63</v>
      </c>
      <c r="T641">
        <v>0</v>
      </c>
      <c r="U641">
        <v>0</v>
      </c>
      <c r="V641">
        <v>0</v>
      </c>
      <c r="W641">
        <v>0</v>
      </c>
      <c r="X641" t="s">
        <v>58</v>
      </c>
    </row>
    <row r="642" customHeight="1" spans="1:24">
      <c r="A642" t="s">
        <v>705</v>
      </c>
      <c r="B642">
        <v>57</v>
      </c>
      <c r="C642">
        <v>36</v>
      </c>
      <c r="D642" t="s">
        <v>72</v>
      </c>
      <c r="E642" t="s">
        <v>54</v>
      </c>
      <c r="F642" t="s">
        <v>58</v>
      </c>
      <c r="G642">
        <v>235</v>
      </c>
      <c r="H642">
        <v>26.76</v>
      </c>
      <c r="I642">
        <v>36</v>
      </c>
      <c r="J642">
        <v>1116.88</v>
      </c>
      <c r="K642">
        <v>0</v>
      </c>
      <c r="L642" t="s">
        <v>62</v>
      </c>
      <c r="M642">
        <v>0</v>
      </c>
      <c r="N642">
        <v>2</v>
      </c>
      <c r="O642">
        <v>22.5</v>
      </c>
      <c r="P642">
        <v>2</v>
      </c>
      <c r="Q642">
        <v>0</v>
      </c>
      <c r="R642">
        <v>0</v>
      </c>
      <c r="S642" t="s">
        <v>63</v>
      </c>
      <c r="T642">
        <v>0</v>
      </c>
      <c r="U642">
        <v>0</v>
      </c>
      <c r="V642">
        <v>0</v>
      </c>
      <c r="W642">
        <v>0</v>
      </c>
      <c r="X642" t="s">
        <v>58</v>
      </c>
    </row>
    <row r="643" customHeight="1" spans="1:24">
      <c r="A643" t="s">
        <v>706</v>
      </c>
      <c r="B643">
        <v>39</v>
      </c>
      <c r="C643">
        <v>45</v>
      </c>
      <c r="D643" t="s">
        <v>53</v>
      </c>
      <c r="E643" t="s">
        <v>54</v>
      </c>
      <c r="F643" t="s">
        <v>55</v>
      </c>
      <c r="G643">
        <v>239</v>
      </c>
      <c r="H643">
        <v>26.68</v>
      </c>
      <c r="I643">
        <v>106</v>
      </c>
      <c r="J643">
        <v>417.04</v>
      </c>
      <c r="K643">
        <v>1</v>
      </c>
      <c r="L643" t="s">
        <v>56</v>
      </c>
      <c r="M643">
        <v>0</v>
      </c>
      <c r="N643">
        <v>2</v>
      </c>
      <c r="O643">
        <v>18.2</v>
      </c>
      <c r="P643">
        <v>2</v>
      </c>
      <c r="Q643">
        <v>1</v>
      </c>
      <c r="R643">
        <v>1</v>
      </c>
      <c r="S643" t="s">
        <v>63</v>
      </c>
      <c r="T643">
        <v>0</v>
      </c>
      <c r="U643">
        <v>1</v>
      </c>
      <c r="V643">
        <v>0</v>
      </c>
      <c r="W643">
        <v>1</v>
      </c>
      <c r="X643" t="s">
        <v>58</v>
      </c>
    </row>
    <row r="644" customHeight="1" spans="1:24">
      <c r="A644" t="s">
        <v>707</v>
      </c>
      <c r="B644">
        <v>45</v>
      </c>
      <c r="C644">
        <v>67</v>
      </c>
      <c r="D644" t="s">
        <v>60</v>
      </c>
      <c r="E644" t="s">
        <v>65</v>
      </c>
      <c r="F644" t="s">
        <v>58</v>
      </c>
      <c r="G644">
        <v>194</v>
      </c>
      <c r="H644">
        <v>17.41</v>
      </c>
      <c r="I644">
        <v>115</v>
      </c>
      <c r="J644">
        <v>748.02</v>
      </c>
      <c r="K644">
        <v>1</v>
      </c>
      <c r="L644" t="s">
        <v>56</v>
      </c>
      <c r="M644">
        <v>1</v>
      </c>
      <c r="N644">
        <v>1</v>
      </c>
      <c r="O644">
        <v>1.7</v>
      </c>
      <c r="P644">
        <v>4</v>
      </c>
      <c r="Q644">
        <v>1</v>
      </c>
      <c r="R644">
        <v>0</v>
      </c>
      <c r="S644" t="s">
        <v>63</v>
      </c>
      <c r="T644">
        <v>1</v>
      </c>
      <c r="U644">
        <v>1</v>
      </c>
      <c r="V644">
        <v>1</v>
      </c>
      <c r="W644">
        <v>0</v>
      </c>
      <c r="X644" t="s">
        <v>58</v>
      </c>
    </row>
    <row r="645" customHeight="1" spans="1:24">
      <c r="A645" t="s">
        <v>708</v>
      </c>
      <c r="B645">
        <v>66</v>
      </c>
      <c r="C645">
        <v>61</v>
      </c>
      <c r="D645" t="s">
        <v>72</v>
      </c>
      <c r="E645" t="s">
        <v>54</v>
      </c>
      <c r="F645" t="s">
        <v>55</v>
      </c>
      <c r="G645">
        <v>517</v>
      </c>
      <c r="H645">
        <v>17.41</v>
      </c>
      <c r="I645">
        <v>193</v>
      </c>
      <c r="J645">
        <v>1003.62</v>
      </c>
      <c r="K645">
        <v>0</v>
      </c>
      <c r="L645" t="s">
        <v>62</v>
      </c>
      <c r="M645">
        <v>1</v>
      </c>
      <c r="N645">
        <v>2</v>
      </c>
      <c r="O645">
        <v>39.3</v>
      </c>
      <c r="P645">
        <v>1</v>
      </c>
      <c r="Q645">
        <v>1</v>
      </c>
      <c r="R645">
        <v>2</v>
      </c>
      <c r="S645" t="s">
        <v>63</v>
      </c>
      <c r="T645">
        <v>1</v>
      </c>
      <c r="U645">
        <v>0</v>
      </c>
      <c r="V645">
        <v>1</v>
      </c>
      <c r="W645">
        <v>1</v>
      </c>
      <c r="X645" t="s">
        <v>55</v>
      </c>
    </row>
    <row r="646" customHeight="1" spans="1:24">
      <c r="A646" t="s">
        <v>709</v>
      </c>
      <c r="B646">
        <v>33</v>
      </c>
      <c r="C646">
        <v>3</v>
      </c>
      <c r="D646" t="s">
        <v>53</v>
      </c>
      <c r="E646" t="s">
        <v>54</v>
      </c>
      <c r="F646" t="s">
        <v>55</v>
      </c>
      <c r="G646">
        <v>507</v>
      </c>
      <c r="H646">
        <v>11.65</v>
      </c>
      <c r="I646">
        <v>163</v>
      </c>
      <c r="J646">
        <v>386.62</v>
      </c>
      <c r="K646">
        <v>0</v>
      </c>
      <c r="L646" t="s">
        <v>62</v>
      </c>
      <c r="M646">
        <v>0</v>
      </c>
      <c r="N646">
        <v>0</v>
      </c>
      <c r="O646">
        <v>21.1</v>
      </c>
      <c r="P646">
        <v>1</v>
      </c>
      <c r="Q646">
        <v>0</v>
      </c>
      <c r="R646">
        <v>0</v>
      </c>
      <c r="S646" t="s">
        <v>66</v>
      </c>
      <c r="T646">
        <v>0</v>
      </c>
      <c r="U646">
        <v>0</v>
      </c>
      <c r="V646">
        <v>0</v>
      </c>
      <c r="W646">
        <v>1</v>
      </c>
      <c r="X646" t="s">
        <v>55</v>
      </c>
    </row>
    <row r="647" customHeight="1" spans="1:24">
      <c r="A647" t="s">
        <v>710</v>
      </c>
      <c r="B647">
        <v>36</v>
      </c>
      <c r="C647">
        <v>69</v>
      </c>
      <c r="D647" t="s">
        <v>60</v>
      </c>
      <c r="E647" t="s">
        <v>69</v>
      </c>
      <c r="F647" t="s">
        <v>58</v>
      </c>
      <c r="G647">
        <v>672</v>
      </c>
      <c r="H647">
        <v>26.38</v>
      </c>
      <c r="I647">
        <v>152</v>
      </c>
      <c r="J647">
        <v>1643.8575</v>
      </c>
      <c r="K647">
        <v>1</v>
      </c>
      <c r="L647" t="s">
        <v>56</v>
      </c>
      <c r="M647">
        <v>0</v>
      </c>
      <c r="N647">
        <v>1</v>
      </c>
      <c r="O647">
        <v>15.2</v>
      </c>
      <c r="P647">
        <v>2</v>
      </c>
      <c r="Q647">
        <v>1</v>
      </c>
      <c r="R647">
        <v>0</v>
      </c>
      <c r="S647" t="s">
        <v>63</v>
      </c>
      <c r="T647">
        <v>0</v>
      </c>
      <c r="U647">
        <v>1</v>
      </c>
      <c r="V647">
        <v>0</v>
      </c>
      <c r="W647">
        <v>0</v>
      </c>
      <c r="X647" t="s">
        <v>58</v>
      </c>
    </row>
    <row r="648" customHeight="1" spans="1:24">
      <c r="A648" t="s">
        <v>711</v>
      </c>
      <c r="B648">
        <v>25</v>
      </c>
      <c r="C648">
        <v>5</v>
      </c>
      <c r="D648" t="s">
        <v>53</v>
      </c>
      <c r="E648" t="s">
        <v>61</v>
      </c>
      <c r="F648" t="s">
        <v>58</v>
      </c>
      <c r="G648">
        <v>297</v>
      </c>
      <c r="H648">
        <v>17.58</v>
      </c>
      <c r="I648">
        <v>92</v>
      </c>
      <c r="J648">
        <v>517.86</v>
      </c>
      <c r="K648">
        <v>0</v>
      </c>
      <c r="L648" t="s">
        <v>62</v>
      </c>
      <c r="M648">
        <v>1</v>
      </c>
      <c r="N648">
        <v>1</v>
      </c>
      <c r="O648">
        <v>10.5</v>
      </c>
      <c r="P648">
        <v>2</v>
      </c>
      <c r="Q648">
        <v>0</v>
      </c>
      <c r="R648">
        <v>1</v>
      </c>
      <c r="S648" t="s">
        <v>66</v>
      </c>
      <c r="T648">
        <v>1</v>
      </c>
      <c r="U648">
        <v>0</v>
      </c>
      <c r="V648">
        <v>0</v>
      </c>
      <c r="W648">
        <v>0</v>
      </c>
      <c r="X648" t="s">
        <v>58</v>
      </c>
    </row>
    <row r="649" customHeight="1" spans="1:24">
      <c r="A649" t="s">
        <v>712</v>
      </c>
      <c r="B649">
        <v>30</v>
      </c>
      <c r="C649">
        <v>2</v>
      </c>
      <c r="D649" t="s">
        <v>53</v>
      </c>
      <c r="E649" t="s">
        <v>76</v>
      </c>
      <c r="F649" t="s">
        <v>55</v>
      </c>
      <c r="G649">
        <v>433</v>
      </c>
      <c r="H649">
        <v>7.54</v>
      </c>
      <c r="I649">
        <v>205</v>
      </c>
      <c r="J649">
        <v>536.67</v>
      </c>
      <c r="K649">
        <v>1</v>
      </c>
      <c r="L649" t="s">
        <v>56</v>
      </c>
      <c r="M649">
        <v>1</v>
      </c>
      <c r="N649">
        <v>2</v>
      </c>
      <c r="O649">
        <v>33.2</v>
      </c>
      <c r="P649">
        <v>1</v>
      </c>
      <c r="Q649">
        <v>0</v>
      </c>
      <c r="R649">
        <v>1</v>
      </c>
      <c r="S649" t="s">
        <v>66</v>
      </c>
      <c r="T649">
        <v>1</v>
      </c>
      <c r="U649">
        <v>1</v>
      </c>
      <c r="V649">
        <v>0</v>
      </c>
      <c r="W649">
        <v>1</v>
      </c>
      <c r="X649" t="s">
        <v>55</v>
      </c>
    </row>
    <row r="650" customHeight="1" spans="1:24">
      <c r="A650" t="s">
        <v>713</v>
      </c>
      <c r="B650">
        <v>20</v>
      </c>
      <c r="C650">
        <v>30</v>
      </c>
      <c r="D650" t="s">
        <v>60</v>
      </c>
      <c r="E650" t="s">
        <v>65</v>
      </c>
      <c r="F650" t="s">
        <v>55</v>
      </c>
      <c r="G650">
        <v>207</v>
      </c>
      <c r="H650">
        <v>1.15</v>
      </c>
      <c r="I650">
        <v>402</v>
      </c>
      <c r="J650">
        <v>756.16</v>
      </c>
      <c r="K650">
        <v>0</v>
      </c>
      <c r="L650" t="s">
        <v>62</v>
      </c>
      <c r="M650">
        <v>1</v>
      </c>
      <c r="N650">
        <v>3</v>
      </c>
      <c r="O650">
        <v>8.4</v>
      </c>
      <c r="P650">
        <v>3</v>
      </c>
      <c r="Q650">
        <v>1</v>
      </c>
      <c r="R650">
        <v>0</v>
      </c>
      <c r="S650" t="s">
        <v>63</v>
      </c>
      <c r="T650">
        <v>1</v>
      </c>
      <c r="U650">
        <v>0</v>
      </c>
      <c r="V650">
        <v>1</v>
      </c>
      <c r="W650">
        <v>1</v>
      </c>
      <c r="X650" t="s">
        <v>55</v>
      </c>
    </row>
    <row r="651" customHeight="1" spans="1:24">
      <c r="A651" t="s">
        <v>714</v>
      </c>
      <c r="B651">
        <v>65</v>
      </c>
      <c r="C651">
        <v>54</v>
      </c>
      <c r="D651" t="s">
        <v>53</v>
      </c>
      <c r="E651" t="s">
        <v>69</v>
      </c>
      <c r="F651" t="s">
        <v>55</v>
      </c>
      <c r="G651">
        <v>350</v>
      </c>
      <c r="H651">
        <v>17.41</v>
      </c>
      <c r="I651">
        <v>168</v>
      </c>
      <c r="J651">
        <v>515.62</v>
      </c>
      <c r="K651">
        <v>2</v>
      </c>
      <c r="L651" t="s">
        <v>56</v>
      </c>
      <c r="M651">
        <v>0</v>
      </c>
      <c r="N651">
        <v>2</v>
      </c>
      <c r="O651">
        <v>25.6</v>
      </c>
      <c r="P651">
        <v>2</v>
      </c>
      <c r="Q651">
        <v>0</v>
      </c>
      <c r="R651">
        <v>0</v>
      </c>
      <c r="S651" t="s">
        <v>63</v>
      </c>
      <c r="T651">
        <v>0</v>
      </c>
      <c r="U651">
        <v>1</v>
      </c>
      <c r="V651">
        <v>1</v>
      </c>
      <c r="W651">
        <v>1</v>
      </c>
      <c r="X651" t="s">
        <v>58</v>
      </c>
    </row>
    <row r="652" customHeight="1" spans="1:24">
      <c r="A652" t="s">
        <v>715</v>
      </c>
      <c r="B652">
        <v>67</v>
      </c>
      <c r="C652">
        <v>6</v>
      </c>
      <c r="D652" t="s">
        <v>72</v>
      </c>
      <c r="E652" t="s">
        <v>76</v>
      </c>
      <c r="F652" t="s">
        <v>58</v>
      </c>
      <c r="G652">
        <v>322</v>
      </c>
      <c r="H652">
        <v>12.53</v>
      </c>
      <c r="I652">
        <v>127</v>
      </c>
      <c r="J652">
        <v>1149.82</v>
      </c>
      <c r="K652">
        <v>0</v>
      </c>
      <c r="L652" t="s">
        <v>62</v>
      </c>
      <c r="M652">
        <v>0</v>
      </c>
      <c r="N652">
        <v>2</v>
      </c>
      <c r="O652">
        <v>17</v>
      </c>
      <c r="P652">
        <v>1</v>
      </c>
      <c r="Q652">
        <v>0</v>
      </c>
      <c r="R652">
        <v>0</v>
      </c>
      <c r="S652" t="s">
        <v>66</v>
      </c>
      <c r="T652">
        <v>0</v>
      </c>
      <c r="U652">
        <v>0</v>
      </c>
      <c r="V652">
        <v>0</v>
      </c>
      <c r="W652">
        <v>0</v>
      </c>
      <c r="X652" t="s">
        <v>58</v>
      </c>
    </row>
    <row r="653" customHeight="1" spans="1:24">
      <c r="A653" t="s">
        <v>716</v>
      </c>
      <c r="B653">
        <v>42</v>
      </c>
      <c r="C653">
        <v>22</v>
      </c>
      <c r="D653" t="s">
        <v>72</v>
      </c>
      <c r="E653" t="s">
        <v>54</v>
      </c>
      <c r="F653" t="s">
        <v>58</v>
      </c>
      <c r="G653">
        <v>470</v>
      </c>
      <c r="H653">
        <v>21.3</v>
      </c>
      <c r="I653">
        <v>29</v>
      </c>
      <c r="J653">
        <v>1226.39</v>
      </c>
      <c r="K653">
        <v>0</v>
      </c>
      <c r="L653" t="s">
        <v>62</v>
      </c>
      <c r="M653">
        <v>0</v>
      </c>
      <c r="N653">
        <v>1</v>
      </c>
      <c r="O653">
        <v>17.7</v>
      </c>
      <c r="P653">
        <v>4</v>
      </c>
      <c r="Q653">
        <v>0</v>
      </c>
      <c r="R653">
        <v>0</v>
      </c>
      <c r="S653" t="s">
        <v>57</v>
      </c>
      <c r="T653">
        <v>0</v>
      </c>
      <c r="U653">
        <v>0</v>
      </c>
      <c r="V653">
        <v>0</v>
      </c>
      <c r="W653">
        <v>0</v>
      </c>
      <c r="X653" t="s">
        <v>58</v>
      </c>
    </row>
    <row r="654" customHeight="1" spans="1:24">
      <c r="A654" t="s">
        <v>717</v>
      </c>
      <c r="B654">
        <v>52</v>
      </c>
      <c r="C654">
        <v>19</v>
      </c>
      <c r="D654" t="s">
        <v>72</v>
      </c>
      <c r="E654" t="s">
        <v>69</v>
      </c>
      <c r="F654" t="s">
        <v>55</v>
      </c>
      <c r="G654">
        <v>553</v>
      </c>
      <c r="H654">
        <v>30.4</v>
      </c>
      <c r="I654">
        <v>75</v>
      </c>
      <c r="J654">
        <v>1112.09</v>
      </c>
      <c r="K654">
        <v>1</v>
      </c>
      <c r="L654" t="s">
        <v>56</v>
      </c>
      <c r="M654">
        <v>0</v>
      </c>
      <c r="N654">
        <v>0</v>
      </c>
      <c r="O654">
        <v>10.8</v>
      </c>
      <c r="P654">
        <v>3</v>
      </c>
      <c r="Q654">
        <v>1</v>
      </c>
      <c r="R654">
        <v>1</v>
      </c>
      <c r="S654" t="s">
        <v>57</v>
      </c>
      <c r="T654">
        <v>0</v>
      </c>
      <c r="U654">
        <v>1</v>
      </c>
      <c r="V654">
        <v>0</v>
      </c>
      <c r="W654">
        <v>1</v>
      </c>
      <c r="X654" t="s">
        <v>55</v>
      </c>
    </row>
    <row r="655" customHeight="1" spans="1:24">
      <c r="A655" t="s">
        <v>718</v>
      </c>
      <c r="B655">
        <v>32</v>
      </c>
      <c r="C655">
        <v>29</v>
      </c>
      <c r="D655" t="s">
        <v>53</v>
      </c>
      <c r="E655" t="s">
        <v>61</v>
      </c>
      <c r="F655" t="s">
        <v>58</v>
      </c>
      <c r="G655">
        <v>549</v>
      </c>
      <c r="H655">
        <v>17.41</v>
      </c>
      <c r="I655">
        <v>105</v>
      </c>
      <c r="J655">
        <v>542.99</v>
      </c>
      <c r="K655">
        <v>1</v>
      </c>
      <c r="L655" t="s">
        <v>56</v>
      </c>
      <c r="M655">
        <v>1</v>
      </c>
      <c r="N655">
        <v>1</v>
      </c>
      <c r="O655">
        <v>16.6</v>
      </c>
      <c r="P655">
        <v>1</v>
      </c>
      <c r="Q655">
        <v>1</v>
      </c>
      <c r="R655">
        <v>1</v>
      </c>
      <c r="S655" t="s">
        <v>63</v>
      </c>
      <c r="T655">
        <v>1</v>
      </c>
      <c r="U655">
        <v>1</v>
      </c>
      <c r="V655">
        <v>1</v>
      </c>
      <c r="W655">
        <v>0</v>
      </c>
      <c r="X655" t="s">
        <v>58</v>
      </c>
    </row>
    <row r="656" customHeight="1" spans="1:24">
      <c r="A656" t="s">
        <v>719</v>
      </c>
      <c r="B656">
        <v>20</v>
      </c>
      <c r="C656">
        <v>71</v>
      </c>
      <c r="D656" t="s">
        <v>53</v>
      </c>
      <c r="E656" t="s">
        <v>65</v>
      </c>
      <c r="F656" t="s">
        <v>55</v>
      </c>
      <c r="G656">
        <v>274</v>
      </c>
      <c r="H656">
        <v>17.55</v>
      </c>
      <c r="I656">
        <v>83</v>
      </c>
      <c r="J656">
        <v>404.05</v>
      </c>
      <c r="K656">
        <v>1</v>
      </c>
      <c r="L656" t="s">
        <v>56</v>
      </c>
      <c r="M656">
        <v>1</v>
      </c>
      <c r="N656">
        <v>1</v>
      </c>
      <c r="O656">
        <v>24.1</v>
      </c>
      <c r="P656">
        <v>2</v>
      </c>
      <c r="Q656">
        <v>2</v>
      </c>
      <c r="R656">
        <v>0</v>
      </c>
      <c r="S656" t="s">
        <v>63</v>
      </c>
      <c r="T656">
        <v>1</v>
      </c>
      <c r="U656">
        <v>1</v>
      </c>
      <c r="V656">
        <v>0</v>
      </c>
      <c r="W656">
        <v>1</v>
      </c>
      <c r="X656" t="s">
        <v>55</v>
      </c>
    </row>
    <row r="657" customHeight="1" spans="1:24">
      <c r="A657" t="s">
        <v>720</v>
      </c>
      <c r="B657">
        <v>47</v>
      </c>
      <c r="C657">
        <v>24</v>
      </c>
      <c r="D657" t="s">
        <v>53</v>
      </c>
      <c r="E657" t="s">
        <v>54</v>
      </c>
      <c r="F657" t="s">
        <v>58</v>
      </c>
      <c r="G657">
        <v>550</v>
      </c>
      <c r="H657">
        <v>16.29</v>
      </c>
      <c r="I657">
        <v>119</v>
      </c>
      <c r="J657">
        <v>1643.8575</v>
      </c>
      <c r="K657">
        <v>0</v>
      </c>
      <c r="L657" t="s">
        <v>62</v>
      </c>
      <c r="M657">
        <v>0</v>
      </c>
      <c r="N657">
        <v>0</v>
      </c>
      <c r="O657">
        <v>23.7</v>
      </c>
      <c r="P657">
        <v>1</v>
      </c>
      <c r="Q657">
        <v>1</v>
      </c>
      <c r="R657">
        <v>0</v>
      </c>
      <c r="S657" t="s">
        <v>57</v>
      </c>
      <c r="T657">
        <v>0</v>
      </c>
      <c r="U657">
        <v>0</v>
      </c>
      <c r="V657">
        <v>0</v>
      </c>
      <c r="W657">
        <v>0</v>
      </c>
      <c r="X657" t="s">
        <v>58</v>
      </c>
    </row>
    <row r="658" customHeight="1" spans="1:24">
      <c r="A658" t="s">
        <v>721</v>
      </c>
      <c r="B658">
        <v>27</v>
      </c>
      <c r="C658">
        <v>16</v>
      </c>
      <c r="D658" t="s">
        <v>53</v>
      </c>
      <c r="E658" t="s">
        <v>61</v>
      </c>
      <c r="F658" t="s">
        <v>55</v>
      </c>
      <c r="G658">
        <v>393</v>
      </c>
      <c r="H658">
        <v>21.8</v>
      </c>
      <c r="I658">
        <v>244</v>
      </c>
      <c r="J658">
        <v>491.39</v>
      </c>
      <c r="K658">
        <v>0</v>
      </c>
      <c r="L658" t="s">
        <v>62</v>
      </c>
      <c r="M658">
        <v>1</v>
      </c>
      <c r="N658">
        <v>1</v>
      </c>
      <c r="O658">
        <v>14.6</v>
      </c>
      <c r="P658">
        <v>2</v>
      </c>
      <c r="Q658">
        <v>1</v>
      </c>
      <c r="R658">
        <v>0</v>
      </c>
      <c r="S658" t="s">
        <v>57</v>
      </c>
      <c r="T658">
        <v>1</v>
      </c>
      <c r="U658">
        <v>0</v>
      </c>
      <c r="V658">
        <v>0</v>
      </c>
      <c r="W658">
        <v>1</v>
      </c>
      <c r="X658" t="s">
        <v>58</v>
      </c>
    </row>
    <row r="659" customHeight="1" spans="1:24">
      <c r="A659" t="s">
        <v>722</v>
      </c>
      <c r="B659">
        <v>67</v>
      </c>
      <c r="C659">
        <v>9</v>
      </c>
      <c r="D659" t="s">
        <v>72</v>
      </c>
      <c r="E659" t="s">
        <v>65</v>
      </c>
      <c r="F659" t="s">
        <v>58</v>
      </c>
      <c r="G659">
        <v>351</v>
      </c>
      <c r="H659">
        <v>30.39</v>
      </c>
      <c r="I659">
        <v>207</v>
      </c>
      <c r="J659">
        <v>1018.34</v>
      </c>
      <c r="K659">
        <v>0</v>
      </c>
      <c r="L659" t="s">
        <v>62</v>
      </c>
      <c r="M659">
        <v>0</v>
      </c>
      <c r="N659">
        <v>0</v>
      </c>
      <c r="O659">
        <v>22.9</v>
      </c>
      <c r="P659">
        <v>1</v>
      </c>
      <c r="Q659">
        <v>0</v>
      </c>
      <c r="R659">
        <v>0</v>
      </c>
      <c r="S659" t="s">
        <v>57</v>
      </c>
      <c r="T659">
        <v>0</v>
      </c>
      <c r="U659">
        <v>0</v>
      </c>
      <c r="V659">
        <v>0</v>
      </c>
      <c r="W659">
        <v>0</v>
      </c>
      <c r="X659" t="s">
        <v>58</v>
      </c>
    </row>
    <row r="660" customHeight="1" spans="1:24">
      <c r="A660" t="s">
        <v>723</v>
      </c>
      <c r="B660">
        <v>34</v>
      </c>
      <c r="C660">
        <v>15</v>
      </c>
      <c r="D660" t="s">
        <v>60</v>
      </c>
      <c r="E660" t="s">
        <v>61</v>
      </c>
      <c r="F660" t="s">
        <v>58</v>
      </c>
      <c r="G660">
        <v>294</v>
      </c>
      <c r="H660">
        <v>4.71</v>
      </c>
      <c r="I660">
        <v>109</v>
      </c>
      <c r="J660">
        <v>767.09</v>
      </c>
      <c r="K660">
        <v>0</v>
      </c>
      <c r="L660" t="s">
        <v>62</v>
      </c>
      <c r="M660">
        <v>0</v>
      </c>
      <c r="N660">
        <v>0</v>
      </c>
      <c r="O660">
        <v>34.7</v>
      </c>
      <c r="P660">
        <v>2</v>
      </c>
      <c r="Q660">
        <v>0</v>
      </c>
      <c r="R660">
        <v>1</v>
      </c>
      <c r="S660" t="s">
        <v>57</v>
      </c>
      <c r="T660">
        <v>0</v>
      </c>
      <c r="U660">
        <v>0</v>
      </c>
      <c r="V660">
        <v>1</v>
      </c>
      <c r="W660">
        <v>0</v>
      </c>
      <c r="X660" t="s">
        <v>58</v>
      </c>
    </row>
    <row r="661" customHeight="1" spans="1:24">
      <c r="A661" t="s">
        <v>724</v>
      </c>
      <c r="B661">
        <v>60</v>
      </c>
      <c r="C661">
        <v>10</v>
      </c>
      <c r="D661" t="s">
        <v>53</v>
      </c>
      <c r="E661" t="s">
        <v>65</v>
      </c>
      <c r="F661" t="s">
        <v>58</v>
      </c>
      <c r="G661">
        <v>316</v>
      </c>
      <c r="H661">
        <v>23.7</v>
      </c>
      <c r="I661">
        <v>35</v>
      </c>
      <c r="J661">
        <v>504.68</v>
      </c>
      <c r="K661">
        <v>1</v>
      </c>
      <c r="L661" t="s">
        <v>56</v>
      </c>
      <c r="M661">
        <v>0</v>
      </c>
      <c r="N661">
        <v>0</v>
      </c>
      <c r="O661">
        <v>4</v>
      </c>
      <c r="P661">
        <v>2</v>
      </c>
      <c r="Q661">
        <v>0</v>
      </c>
      <c r="R661">
        <v>0</v>
      </c>
      <c r="S661" t="s">
        <v>57</v>
      </c>
      <c r="T661">
        <v>0</v>
      </c>
      <c r="U661">
        <v>1</v>
      </c>
      <c r="V661">
        <v>0</v>
      </c>
      <c r="W661">
        <v>0</v>
      </c>
      <c r="X661" t="s">
        <v>58</v>
      </c>
    </row>
    <row r="662" customHeight="1" spans="1:24">
      <c r="A662" t="s">
        <v>725</v>
      </c>
      <c r="B662">
        <v>33</v>
      </c>
      <c r="C662">
        <v>42</v>
      </c>
      <c r="D662" t="s">
        <v>72</v>
      </c>
      <c r="E662" t="s">
        <v>61</v>
      </c>
      <c r="F662" t="s">
        <v>58</v>
      </c>
      <c r="G662">
        <v>661</v>
      </c>
      <c r="H662">
        <v>28.32</v>
      </c>
      <c r="I662">
        <v>214</v>
      </c>
      <c r="J662">
        <v>1129.67</v>
      </c>
      <c r="K662">
        <v>0</v>
      </c>
      <c r="L662" t="s">
        <v>62</v>
      </c>
      <c r="M662">
        <v>0</v>
      </c>
      <c r="N662">
        <v>0</v>
      </c>
      <c r="O662">
        <v>23.9</v>
      </c>
      <c r="P662">
        <v>0</v>
      </c>
      <c r="Q662">
        <v>2</v>
      </c>
      <c r="R662">
        <v>0</v>
      </c>
      <c r="S662" t="s">
        <v>63</v>
      </c>
      <c r="T662">
        <v>0</v>
      </c>
      <c r="U662">
        <v>0</v>
      </c>
      <c r="V662">
        <v>0</v>
      </c>
      <c r="W662">
        <v>0</v>
      </c>
      <c r="X662" t="s">
        <v>58</v>
      </c>
    </row>
    <row r="663" customHeight="1" spans="1:24">
      <c r="A663" t="s">
        <v>726</v>
      </c>
      <c r="B663">
        <v>25</v>
      </c>
      <c r="C663">
        <v>31</v>
      </c>
      <c r="D663" t="s">
        <v>60</v>
      </c>
      <c r="E663" t="s">
        <v>76</v>
      </c>
      <c r="F663" t="s">
        <v>58</v>
      </c>
      <c r="G663">
        <v>446</v>
      </c>
      <c r="H663">
        <v>17.41</v>
      </c>
      <c r="I663">
        <v>117</v>
      </c>
      <c r="J663">
        <v>714.83</v>
      </c>
      <c r="K663">
        <v>0</v>
      </c>
      <c r="L663" t="s">
        <v>62</v>
      </c>
      <c r="M663">
        <v>1</v>
      </c>
      <c r="N663">
        <v>2</v>
      </c>
      <c r="O663">
        <v>12.6</v>
      </c>
      <c r="P663">
        <v>1</v>
      </c>
      <c r="Q663">
        <v>0</v>
      </c>
      <c r="R663">
        <v>0</v>
      </c>
      <c r="S663" t="s">
        <v>63</v>
      </c>
      <c r="T663">
        <v>1</v>
      </c>
      <c r="U663">
        <v>0</v>
      </c>
      <c r="V663">
        <v>1</v>
      </c>
      <c r="W663">
        <v>0</v>
      </c>
      <c r="X663" t="s">
        <v>58</v>
      </c>
    </row>
    <row r="664" customHeight="1" spans="1:24">
      <c r="A664" t="s">
        <v>727</v>
      </c>
      <c r="B664">
        <v>49</v>
      </c>
      <c r="C664">
        <v>36</v>
      </c>
      <c r="D664" t="s">
        <v>53</v>
      </c>
      <c r="E664" t="s">
        <v>61</v>
      </c>
      <c r="F664" t="s">
        <v>58</v>
      </c>
      <c r="G664">
        <v>426</v>
      </c>
      <c r="H664">
        <v>16.63</v>
      </c>
      <c r="I664">
        <v>0</v>
      </c>
      <c r="J664">
        <v>453.13</v>
      </c>
      <c r="K664">
        <v>1</v>
      </c>
      <c r="L664" t="s">
        <v>56</v>
      </c>
      <c r="M664">
        <v>1</v>
      </c>
      <c r="N664">
        <v>3</v>
      </c>
      <c r="O664">
        <v>11.4</v>
      </c>
      <c r="P664">
        <v>0</v>
      </c>
      <c r="Q664">
        <v>1</v>
      </c>
      <c r="R664">
        <v>0</v>
      </c>
      <c r="S664" t="s">
        <v>63</v>
      </c>
      <c r="T664">
        <v>1</v>
      </c>
      <c r="U664">
        <v>1</v>
      </c>
      <c r="V664">
        <v>0</v>
      </c>
      <c r="W664">
        <v>0</v>
      </c>
      <c r="X664" t="s">
        <v>58</v>
      </c>
    </row>
    <row r="665" customHeight="1" spans="1:24">
      <c r="A665" t="s">
        <v>728</v>
      </c>
      <c r="B665">
        <v>28</v>
      </c>
      <c r="C665">
        <v>60</v>
      </c>
      <c r="D665" t="s">
        <v>53</v>
      </c>
      <c r="E665" t="s">
        <v>61</v>
      </c>
      <c r="F665" t="s">
        <v>58</v>
      </c>
      <c r="G665">
        <v>361</v>
      </c>
      <c r="H665">
        <v>22.18</v>
      </c>
      <c r="I665">
        <v>170</v>
      </c>
      <c r="J665">
        <v>503.08</v>
      </c>
      <c r="K665">
        <v>0</v>
      </c>
      <c r="L665" t="s">
        <v>62</v>
      </c>
      <c r="M665">
        <v>1</v>
      </c>
      <c r="N665">
        <v>1</v>
      </c>
      <c r="O665">
        <v>27.1</v>
      </c>
      <c r="P665">
        <v>1</v>
      </c>
      <c r="Q665">
        <v>0</v>
      </c>
      <c r="R665">
        <v>0</v>
      </c>
      <c r="S665" t="s">
        <v>63</v>
      </c>
      <c r="T665">
        <v>1</v>
      </c>
      <c r="U665">
        <v>0</v>
      </c>
      <c r="V665">
        <v>0</v>
      </c>
      <c r="W665">
        <v>0</v>
      </c>
      <c r="X665" t="s">
        <v>58</v>
      </c>
    </row>
    <row r="666" customHeight="1" spans="1:24">
      <c r="A666" t="s">
        <v>729</v>
      </c>
      <c r="B666">
        <v>41</v>
      </c>
      <c r="C666">
        <v>42</v>
      </c>
      <c r="D666" t="s">
        <v>60</v>
      </c>
      <c r="E666" t="s">
        <v>65</v>
      </c>
      <c r="F666" t="s">
        <v>55</v>
      </c>
      <c r="G666">
        <v>767</v>
      </c>
      <c r="H666">
        <v>21.45</v>
      </c>
      <c r="I666">
        <v>192</v>
      </c>
      <c r="J666">
        <v>877.65</v>
      </c>
      <c r="K666">
        <v>1</v>
      </c>
      <c r="L666" t="s">
        <v>56</v>
      </c>
      <c r="M666">
        <v>2</v>
      </c>
      <c r="N666">
        <v>2</v>
      </c>
      <c r="O666">
        <v>17.5</v>
      </c>
      <c r="P666">
        <v>1</v>
      </c>
      <c r="Q666">
        <v>1</v>
      </c>
      <c r="R666">
        <v>0</v>
      </c>
      <c r="S666" t="s">
        <v>63</v>
      </c>
      <c r="T666">
        <v>1</v>
      </c>
      <c r="U666">
        <v>1</v>
      </c>
      <c r="V666">
        <v>0</v>
      </c>
      <c r="W666">
        <v>1</v>
      </c>
      <c r="X666" t="s">
        <v>55</v>
      </c>
    </row>
    <row r="667" customHeight="1" spans="1:24">
      <c r="A667" t="s">
        <v>730</v>
      </c>
      <c r="B667">
        <v>35</v>
      </c>
      <c r="C667">
        <v>12</v>
      </c>
      <c r="D667" t="s">
        <v>72</v>
      </c>
      <c r="E667" t="s">
        <v>69</v>
      </c>
      <c r="F667" t="s">
        <v>58</v>
      </c>
      <c r="G667">
        <v>596</v>
      </c>
      <c r="H667">
        <v>23.82</v>
      </c>
      <c r="I667">
        <v>0</v>
      </c>
      <c r="J667">
        <v>1110.99</v>
      </c>
      <c r="K667">
        <v>0</v>
      </c>
      <c r="L667" t="s">
        <v>62</v>
      </c>
      <c r="M667">
        <v>0</v>
      </c>
      <c r="N667">
        <v>1</v>
      </c>
      <c r="O667">
        <v>9.4</v>
      </c>
      <c r="P667">
        <v>5</v>
      </c>
      <c r="Q667">
        <v>0</v>
      </c>
      <c r="R667">
        <v>1</v>
      </c>
      <c r="S667" t="s">
        <v>57</v>
      </c>
      <c r="T667">
        <v>0</v>
      </c>
      <c r="U667">
        <v>0</v>
      </c>
      <c r="V667">
        <v>0</v>
      </c>
      <c r="W667">
        <v>0</v>
      </c>
      <c r="X667" t="s">
        <v>58</v>
      </c>
    </row>
    <row r="668" customHeight="1" spans="1:24">
      <c r="A668" t="s">
        <v>731</v>
      </c>
      <c r="B668">
        <v>69</v>
      </c>
      <c r="C668">
        <v>28</v>
      </c>
      <c r="D668" t="s">
        <v>53</v>
      </c>
      <c r="E668" t="s">
        <v>69</v>
      </c>
      <c r="F668" t="s">
        <v>55</v>
      </c>
      <c r="G668">
        <v>292</v>
      </c>
      <c r="H668">
        <v>23.61</v>
      </c>
      <c r="I668">
        <v>62</v>
      </c>
      <c r="J668">
        <v>393.09</v>
      </c>
      <c r="K668">
        <v>1</v>
      </c>
      <c r="L668" t="s">
        <v>56</v>
      </c>
      <c r="M668">
        <v>0</v>
      </c>
      <c r="N668">
        <v>0</v>
      </c>
      <c r="O668">
        <v>23.7</v>
      </c>
      <c r="P668">
        <v>0</v>
      </c>
      <c r="Q668">
        <v>0</v>
      </c>
      <c r="R668">
        <v>0</v>
      </c>
      <c r="S668" t="s">
        <v>63</v>
      </c>
      <c r="T668">
        <v>0</v>
      </c>
      <c r="U668">
        <v>1</v>
      </c>
      <c r="V668">
        <v>0</v>
      </c>
      <c r="W668">
        <v>1</v>
      </c>
      <c r="X668" t="s">
        <v>58</v>
      </c>
    </row>
    <row r="669" customHeight="1" spans="1:24">
      <c r="A669" t="s">
        <v>732</v>
      </c>
      <c r="B669">
        <v>47</v>
      </c>
      <c r="C669">
        <v>23</v>
      </c>
      <c r="D669" t="s">
        <v>72</v>
      </c>
      <c r="E669" t="s">
        <v>61</v>
      </c>
      <c r="F669" t="s">
        <v>58</v>
      </c>
      <c r="G669">
        <v>359</v>
      </c>
      <c r="H669">
        <v>8.18</v>
      </c>
      <c r="I669">
        <v>112</v>
      </c>
      <c r="J669">
        <v>1121.8</v>
      </c>
      <c r="K669">
        <v>2</v>
      </c>
      <c r="L669" t="s">
        <v>56</v>
      </c>
      <c r="M669">
        <v>1</v>
      </c>
      <c r="N669">
        <v>3</v>
      </c>
      <c r="O669">
        <v>35</v>
      </c>
      <c r="P669">
        <v>2</v>
      </c>
      <c r="Q669">
        <v>0</v>
      </c>
      <c r="R669">
        <v>0</v>
      </c>
      <c r="S669" t="s">
        <v>57</v>
      </c>
      <c r="T669">
        <v>1</v>
      </c>
      <c r="U669">
        <v>1</v>
      </c>
      <c r="V669">
        <v>0</v>
      </c>
      <c r="W669">
        <v>0</v>
      </c>
      <c r="X669" t="s">
        <v>58</v>
      </c>
    </row>
    <row r="670" customHeight="1" spans="1:24">
      <c r="A670" t="s">
        <v>733</v>
      </c>
      <c r="B670">
        <v>59</v>
      </c>
      <c r="C670">
        <v>60</v>
      </c>
      <c r="D670" t="s">
        <v>72</v>
      </c>
      <c r="E670" t="s">
        <v>54</v>
      </c>
      <c r="F670" t="s">
        <v>58</v>
      </c>
      <c r="G670">
        <v>368</v>
      </c>
      <c r="H670">
        <v>27.9</v>
      </c>
      <c r="I670">
        <v>171</v>
      </c>
      <c r="J670">
        <v>1114.76</v>
      </c>
      <c r="K670">
        <v>0</v>
      </c>
      <c r="L670" t="s">
        <v>62</v>
      </c>
      <c r="M670">
        <v>1</v>
      </c>
      <c r="N670">
        <v>1</v>
      </c>
      <c r="O670">
        <v>1</v>
      </c>
      <c r="P670">
        <v>4</v>
      </c>
      <c r="Q670">
        <v>1</v>
      </c>
      <c r="R670">
        <v>0</v>
      </c>
      <c r="S670" t="s">
        <v>63</v>
      </c>
      <c r="T670">
        <v>1</v>
      </c>
      <c r="U670">
        <v>0</v>
      </c>
      <c r="V670">
        <v>0</v>
      </c>
      <c r="W670">
        <v>0</v>
      </c>
      <c r="X670" t="s">
        <v>58</v>
      </c>
    </row>
    <row r="671" customHeight="1" spans="1:24">
      <c r="A671" t="s">
        <v>734</v>
      </c>
      <c r="B671">
        <v>52</v>
      </c>
      <c r="C671">
        <v>23</v>
      </c>
      <c r="D671" t="s">
        <v>72</v>
      </c>
      <c r="E671" t="s">
        <v>54</v>
      </c>
      <c r="F671" t="s">
        <v>55</v>
      </c>
      <c r="G671">
        <v>422</v>
      </c>
      <c r="H671">
        <v>29.67</v>
      </c>
      <c r="I671">
        <v>84</v>
      </c>
      <c r="J671">
        <v>1151.59</v>
      </c>
      <c r="K671">
        <v>0</v>
      </c>
      <c r="L671" t="s">
        <v>62</v>
      </c>
      <c r="M671">
        <v>1</v>
      </c>
      <c r="N671">
        <v>1</v>
      </c>
      <c r="O671">
        <v>6.3</v>
      </c>
      <c r="P671">
        <v>2</v>
      </c>
      <c r="Q671">
        <v>1</v>
      </c>
      <c r="R671">
        <v>1</v>
      </c>
      <c r="S671" t="s">
        <v>57</v>
      </c>
      <c r="T671">
        <v>1</v>
      </c>
      <c r="U671">
        <v>0</v>
      </c>
      <c r="V671">
        <v>0</v>
      </c>
      <c r="W671">
        <v>1</v>
      </c>
      <c r="X671" t="s">
        <v>55</v>
      </c>
    </row>
    <row r="672" customHeight="1" spans="1:24">
      <c r="A672" t="s">
        <v>735</v>
      </c>
      <c r="B672">
        <v>70</v>
      </c>
      <c r="C672">
        <v>10</v>
      </c>
      <c r="D672" t="s">
        <v>53</v>
      </c>
      <c r="E672" t="s">
        <v>65</v>
      </c>
      <c r="F672" t="s">
        <v>58</v>
      </c>
      <c r="G672">
        <v>295</v>
      </c>
      <c r="H672">
        <v>19.86</v>
      </c>
      <c r="I672">
        <v>62</v>
      </c>
      <c r="J672">
        <v>504.57</v>
      </c>
      <c r="K672">
        <v>0</v>
      </c>
      <c r="L672" t="s">
        <v>62</v>
      </c>
      <c r="M672">
        <v>0</v>
      </c>
      <c r="N672">
        <v>1</v>
      </c>
      <c r="O672">
        <v>31.1</v>
      </c>
      <c r="P672">
        <v>0</v>
      </c>
      <c r="Q672">
        <v>2</v>
      </c>
      <c r="R672">
        <v>1</v>
      </c>
      <c r="S672" t="s">
        <v>57</v>
      </c>
      <c r="T672">
        <v>0</v>
      </c>
      <c r="U672">
        <v>0</v>
      </c>
      <c r="V672">
        <v>0</v>
      </c>
      <c r="W672">
        <v>0</v>
      </c>
      <c r="X672" t="s">
        <v>58</v>
      </c>
    </row>
    <row r="673" customHeight="1" spans="1:24">
      <c r="A673" t="s">
        <v>736</v>
      </c>
      <c r="B673">
        <v>43</v>
      </c>
      <c r="C673">
        <v>53</v>
      </c>
      <c r="D673" t="s">
        <v>53</v>
      </c>
      <c r="E673" t="s">
        <v>61</v>
      </c>
      <c r="F673" t="s">
        <v>55</v>
      </c>
      <c r="G673">
        <v>466</v>
      </c>
      <c r="H673">
        <v>3.06</v>
      </c>
      <c r="I673">
        <v>171</v>
      </c>
      <c r="J673">
        <v>470.11</v>
      </c>
      <c r="K673">
        <v>0</v>
      </c>
      <c r="L673" t="s">
        <v>62</v>
      </c>
      <c r="M673">
        <v>0</v>
      </c>
      <c r="N673">
        <v>0</v>
      </c>
      <c r="O673">
        <v>20.6</v>
      </c>
      <c r="P673">
        <v>2</v>
      </c>
      <c r="Q673">
        <v>4</v>
      </c>
      <c r="R673">
        <v>0</v>
      </c>
      <c r="S673" t="s">
        <v>63</v>
      </c>
      <c r="T673">
        <v>0</v>
      </c>
      <c r="U673">
        <v>0</v>
      </c>
      <c r="V673">
        <v>1</v>
      </c>
      <c r="W673">
        <v>1</v>
      </c>
      <c r="X673" t="s">
        <v>55</v>
      </c>
    </row>
    <row r="674" customHeight="1" spans="1:24">
      <c r="A674" t="s">
        <v>737</v>
      </c>
      <c r="B674">
        <v>68</v>
      </c>
      <c r="C674">
        <v>31</v>
      </c>
      <c r="D674" t="s">
        <v>72</v>
      </c>
      <c r="E674" t="s">
        <v>61</v>
      </c>
      <c r="F674" t="s">
        <v>55</v>
      </c>
      <c r="G674">
        <v>618</v>
      </c>
      <c r="H674">
        <v>16.85</v>
      </c>
      <c r="I674">
        <v>87</v>
      </c>
      <c r="J674">
        <v>1237.82</v>
      </c>
      <c r="K674">
        <v>0</v>
      </c>
      <c r="L674" t="s">
        <v>62</v>
      </c>
      <c r="M674">
        <v>0</v>
      </c>
      <c r="N674">
        <v>0</v>
      </c>
      <c r="O674">
        <v>42</v>
      </c>
      <c r="P674">
        <v>0</v>
      </c>
      <c r="Q674">
        <v>0</v>
      </c>
      <c r="R674">
        <v>0</v>
      </c>
      <c r="S674" t="s">
        <v>63</v>
      </c>
      <c r="T674">
        <v>0</v>
      </c>
      <c r="U674">
        <v>0</v>
      </c>
      <c r="V674">
        <v>0</v>
      </c>
      <c r="W674">
        <v>1</v>
      </c>
      <c r="X674" t="s">
        <v>55</v>
      </c>
    </row>
    <row r="675" customHeight="1" spans="1:24">
      <c r="A675" t="s">
        <v>738</v>
      </c>
      <c r="B675">
        <v>70</v>
      </c>
      <c r="C675">
        <v>7</v>
      </c>
      <c r="D675" t="s">
        <v>53</v>
      </c>
      <c r="E675" t="s">
        <v>69</v>
      </c>
      <c r="F675" t="s">
        <v>58</v>
      </c>
      <c r="G675">
        <v>203</v>
      </c>
      <c r="H675">
        <v>19.94</v>
      </c>
      <c r="I675">
        <v>158</v>
      </c>
      <c r="J675">
        <v>403.33</v>
      </c>
      <c r="K675">
        <v>0</v>
      </c>
      <c r="L675" t="s">
        <v>62</v>
      </c>
      <c r="M675">
        <v>1</v>
      </c>
      <c r="N675">
        <v>2</v>
      </c>
      <c r="O675">
        <v>31.4</v>
      </c>
      <c r="P675">
        <v>0</v>
      </c>
      <c r="Q675">
        <v>2</v>
      </c>
      <c r="R675">
        <v>0</v>
      </c>
      <c r="S675" t="s">
        <v>57</v>
      </c>
      <c r="T675">
        <v>1</v>
      </c>
      <c r="U675">
        <v>0</v>
      </c>
      <c r="V675">
        <v>0</v>
      </c>
      <c r="W675">
        <v>0</v>
      </c>
      <c r="X675" t="s">
        <v>58</v>
      </c>
    </row>
    <row r="676" customHeight="1" spans="1:24">
      <c r="A676" t="s">
        <v>739</v>
      </c>
      <c r="B676">
        <v>71</v>
      </c>
      <c r="C676">
        <v>50</v>
      </c>
      <c r="D676" t="s">
        <v>60</v>
      </c>
      <c r="E676" t="s">
        <v>76</v>
      </c>
      <c r="F676" t="s">
        <v>55</v>
      </c>
      <c r="G676">
        <v>231</v>
      </c>
      <c r="H676">
        <v>6.55</v>
      </c>
      <c r="I676">
        <v>42</v>
      </c>
      <c r="J676">
        <v>847.47</v>
      </c>
      <c r="K676">
        <v>1</v>
      </c>
      <c r="L676" t="s">
        <v>56</v>
      </c>
      <c r="M676">
        <v>1</v>
      </c>
      <c r="N676">
        <v>2</v>
      </c>
      <c r="O676">
        <v>27.6</v>
      </c>
      <c r="P676">
        <v>0</v>
      </c>
      <c r="Q676">
        <v>0</v>
      </c>
      <c r="R676">
        <v>2</v>
      </c>
      <c r="S676" t="s">
        <v>63</v>
      </c>
      <c r="T676">
        <v>1</v>
      </c>
      <c r="U676">
        <v>1</v>
      </c>
      <c r="V676">
        <v>0</v>
      </c>
      <c r="W676">
        <v>1</v>
      </c>
      <c r="X676" t="s">
        <v>55</v>
      </c>
    </row>
    <row r="677" customHeight="1" spans="1:24">
      <c r="A677" t="s">
        <v>740</v>
      </c>
      <c r="B677">
        <v>58</v>
      </c>
      <c r="C677">
        <v>16</v>
      </c>
      <c r="D677" t="s">
        <v>72</v>
      </c>
      <c r="E677" t="s">
        <v>65</v>
      </c>
      <c r="F677" t="s">
        <v>55</v>
      </c>
      <c r="G677">
        <v>328</v>
      </c>
      <c r="H677">
        <v>14.4</v>
      </c>
      <c r="I677">
        <v>25</v>
      </c>
      <c r="J677">
        <v>1043.83</v>
      </c>
      <c r="K677">
        <v>2</v>
      </c>
      <c r="L677" t="s">
        <v>56</v>
      </c>
      <c r="M677">
        <v>0</v>
      </c>
      <c r="N677">
        <v>0</v>
      </c>
      <c r="O677">
        <v>11.7</v>
      </c>
      <c r="P677">
        <v>3</v>
      </c>
      <c r="Q677">
        <v>0</v>
      </c>
      <c r="R677">
        <v>0</v>
      </c>
      <c r="S677" t="s">
        <v>57</v>
      </c>
      <c r="T677">
        <v>0</v>
      </c>
      <c r="U677">
        <v>1</v>
      </c>
      <c r="V677">
        <v>0</v>
      </c>
      <c r="W677">
        <v>1</v>
      </c>
      <c r="X677" t="s">
        <v>55</v>
      </c>
    </row>
    <row r="678" customHeight="1" spans="1:24">
      <c r="A678" t="s">
        <v>741</v>
      </c>
      <c r="B678">
        <v>74</v>
      </c>
      <c r="C678">
        <v>63</v>
      </c>
      <c r="D678" t="s">
        <v>53</v>
      </c>
      <c r="E678" t="s">
        <v>54</v>
      </c>
      <c r="F678" t="s">
        <v>58</v>
      </c>
      <c r="G678">
        <v>334</v>
      </c>
      <c r="H678">
        <v>3.91</v>
      </c>
      <c r="I678">
        <v>173</v>
      </c>
      <c r="J678">
        <v>362.59</v>
      </c>
      <c r="K678">
        <v>1</v>
      </c>
      <c r="L678" t="s">
        <v>56</v>
      </c>
      <c r="M678">
        <v>0</v>
      </c>
      <c r="N678">
        <v>3</v>
      </c>
      <c r="O678">
        <v>29.9</v>
      </c>
      <c r="P678">
        <v>1</v>
      </c>
      <c r="Q678">
        <v>1</v>
      </c>
      <c r="R678">
        <v>0</v>
      </c>
      <c r="S678" t="s">
        <v>63</v>
      </c>
      <c r="T678">
        <v>0</v>
      </c>
      <c r="U678">
        <v>1</v>
      </c>
      <c r="V678">
        <v>1</v>
      </c>
      <c r="W678">
        <v>0</v>
      </c>
      <c r="X678" t="s">
        <v>58</v>
      </c>
    </row>
    <row r="679" customHeight="1" spans="1:24">
      <c r="A679" t="s">
        <v>742</v>
      </c>
      <c r="B679">
        <v>61</v>
      </c>
      <c r="C679">
        <v>60</v>
      </c>
      <c r="D679" t="s">
        <v>72</v>
      </c>
      <c r="E679" t="s">
        <v>76</v>
      </c>
      <c r="F679" t="s">
        <v>55</v>
      </c>
      <c r="G679">
        <v>700</v>
      </c>
      <c r="H679">
        <v>24.07</v>
      </c>
      <c r="I679">
        <v>138</v>
      </c>
      <c r="J679">
        <v>1175.69</v>
      </c>
      <c r="K679">
        <v>0</v>
      </c>
      <c r="L679" t="s">
        <v>62</v>
      </c>
      <c r="M679">
        <v>0</v>
      </c>
      <c r="N679">
        <v>0</v>
      </c>
      <c r="O679">
        <v>23.7</v>
      </c>
      <c r="P679">
        <v>4</v>
      </c>
      <c r="Q679">
        <v>0</v>
      </c>
      <c r="R679">
        <v>1</v>
      </c>
      <c r="S679" t="s">
        <v>63</v>
      </c>
      <c r="T679">
        <v>0</v>
      </c>
      <c r="U679">
        <v>0</v>
      </c>
      <c r="V679">
        <v>0</v>
      </c>
      <c r="W679">
        <v>1</v>
      </c>
      <c r="X679" t="s">
        <v>55</v>
      </c>
    </row>
    <row r="680" customHeight="1" spans="1:24">
      <c r="A680" t="s">
        <v>743</v>
      </c>
      <c r="B680">
        <v>36</v>
      </c>
      <c r="C680">
        <v>27</v>
      </c>
      <c r="D680" t="s">
        <v>72</v>
      </c>
      <c r="E680" t="s">
        <v>61</v>
      </c>
      <c r="F680" t="s">
        <v>58</v>
      </c>
      <c r="G680">
        <v>550</v>
      </c>
      <c r="H680">
        <v>19.66</v>
      </c>
      <c r="I680">
        <v>185</v>
      </c>
      <c r="J680">
        <v>936.61</v>
      </c>
      <c r="K680">
        <v>0</v>
      </c>
      <c r="L680" t="s">
        <v>62</v>
      </c>
      <c r="M680">
        <v>0</v>
      </c>
      <c r="N680">
        <v>0</v>
      </c>
      <c r="O680">
        <v>39.7</v>
      </c>
      <c r="P680">
        <v>0</v>
      </c>
      <c r="Q680">
        <v>0</v>
      </c>
      <c r="R680">
        <v>0</v>
      </c>
      <c r="S680" t="s">
        <v>63</v>
      </c>
      <c r="T680">
        <v>0</v>
      </c>
      <c r="U680">
        <v>0</v>
      </c>
      <c r="V680">
        <v>0</v>
      </c>
      <c r="W680">
        <v>0</v>
      </c>
      <c r="X680" t="s">
        <v>58</v>
      </c>
    </row>
    <row r="681" customHeight="1" spans="1:24">
      <c r="A681" t="s">
        <v>744</v>
      </c>
      <c r="B681">
        <v>27</v>
      </c>
      <c r="C681">
        <v>41</v>
      </c>
      <c r="D681" t="s">
        <v>60</v>
      </c>
      <c r="E681" t="s">
        <v>65</v>
      </c>
      <c r="F681" t="s">
        <v>58</v>
      </c>
      <c r="G681">
        <v>542</v>
      </c>
      <c r="H681">
        <v>1.54</v>
      </c>
      <c r="I681">
        <v>83</v>
      </c>
      <c r="J681">
        <v>650</v>
      </c>
      <c r="K681">
        <v>1</v>
      </c>
      <c r="L681" t="s">
        <v>56</v>
      </c>
      <c r="M681">
        <v>0</v>
      </c>
      <c r="N681">
        <v>0</v>
      </c>
      <c r="O681">
        <v>29.1</v>
      </c>
      <c r="P681">
        <v>1</v>
      </c>
      <c r="Q681">
        <v>0</v>
      </c>
      <c r="R681">
        <v>0</v>
      </c>
      <c r="S681" t="s">
        <v>63</v>
      </c>
      <c r="T681">
        <v>0</v>
      </c>
      <c r="U681">
        <v>1</v>
      </c>
      <c r="V681">
        <v>1</v>
      </c>
      <c r="W681">
        <v>0</v>
      </c>
      <c r="X681" t="s">
        <v>58</v>
      </c>
    </row>
    <row r="682" customHeight="1" spans="1:24">
      <c r="A682" t="s">
        <v>745</v>
      </c>
      <c r="B682">
        <v>30</v>
      </c>
      <c r="C682">
        <v>41</v>
      </c>
      <c r="D682" t="s">
        <v>60</v>
      </c>
      <c r="E682" t="s">
        <v>76</v>
      </c>
      <c r="F682" t="s">
        <v>58</v>
      </c>
      <c r="G682">
        <v>360</v>
      </c>
      <c r="H682">
        <v>21.51</v>
      </c>
      <c r="I682">
        <v>64</v>
      </c>
      <c r="J682">
        <v>785.67</v>
      </c>
      <c r="K682">
        <v>2</v>
      </c>
      <c r="L682" t="s">
        <v>56</v>
      </c>
      <c r="M682">
        <v>0</v>
      </c>
      <c r="N682">
        <v>0</v>
      </c>
      <c r="O682">
        <v>14.1</v>
      </c>
      <c r="P682">
        <v>1</v>
      </c>
      <c r="Q682">
        <v>1</v>
      </c>
      <c r="R682">
        <v>0</v>
      </c>
      <c r="S682" t="s">
        <v>63</v>
      </c>
      <c r="T682">
        <v>0</v>
      </c>
      <c r="U682">
        <v>1</v>
      </c>
      <c r="V682">
        <v>0</v>
      </c>
      <c r="W682">
        <v>0</v>
      </c>
      <c r="X682" t="s">
        <v>58</v>
      </c>
    </row>
    <row r="683" customHeight="1" spans="1:24">
      <c r="A683" t="s">
        <v>746</v>
      </c>
      <c r="B683">
        <v>51</v>
      </c>
      <c r="C683">
        <v>48</v>
      </c>
      <c r="D683" t="s">
        <v>72</v>
      </c>
      <c r="E683" t="s">
        <v>69</v>
      </c>
      <c r="F683" t="s">
        <v>58</v>
      </c>
      <c r="G683">
        <v>357</v>
      </c>
      <c r="H683">
        <v>17.41</v>
      </c>
      <c r="I683">
        <v>215</v>
      </c>
      <c r="J683">
        <v>1073.43</v>
      </c>
      <c r="K683">
        <v>0</v>
      </c>
      <c r="L683" t="s">
        <v>62</v>
      </c>
      <c r="M683">
        <v>0</v>
      </c>
      <c r="N683">
        <v>2</v>
      </c>
      <c r="O683">
        <v>33.7</v>
      </c>
      <c r="P683">
        <v>1</v>
      </c>
      <c r="Q683">
        <v>0</v>
      </c>
      <c r="R683">
        <v>0</v>
      </c>
      <c r="S683" t="s">
        <v>63</v>
      </c>
      <c r="T683">
        <v>0</v>
      </c>
      <c r="U683">
        <v>0</v>
      </c>
      <c r="V683">
        <v>1</v>
      </c>
      <c r="W683">
        <v>0</v>
      </c>
      <c r="X683" t="s">
        <v>58</v>
      </c>
    </row>
    <row r="684" customHeight="1" spans="1:24">
      <c r="A684" t="s">
        <v>747</v>
      </c>
      <c r="B684">
        <v>27</v>
      </c>
      <c r="C684">
        <v>5</v>
      </c>
      <c r="D684" t="s">
        <v>60</v>
      </c>
      <c r="E684" t="s">
        <v>61</v>
      </c>
      <c r="F684" t="s">
        <v>58</v>
      </c>
      <c r="G684">
        <v>182</v>
      </c>
      <c r="H684">
        <v>23.16</v>
      </c>
      <c r="I684">
        <v>13</v>
      </c>
      <c r="J684">
        <v>741.18</v>
      </c>
      <c r="K684">
        <v>1</v>
      </c>
      <c r="L684" t="s">
        <v>56</v>
      </c>
      <c r="M684">
        <v>1</v>
      </c>
      <c r="N684">
        <v>1</v>
      </c>
      <c r="O684">
        <v>50.9</v>
      </c>
      <c r="P684">
        <v>0</v>
      </c>
      <c r="Q684">
        <v>0</v>
      </c>
      <c r="R684">
        <v>0</v>
      </c>
      <c r="S684" t="s">
        <v>66</v>
      </c>
      <c r="T684">
        <v>1</v>
      </c>
      <c r="U684">
        <v>1</v>
      </c>
      <c r="V684">
        <v>0</v>
      </c>
      <c r="W684">
        <v>0</v>
      </c>
      <c r="X684" t="s">
        <v>58</v>
      </c>
    </row>
    <row r="685" customHeight="1" spans="1:24">
      <c r="A685" t="s">
        <v>748</v>
      </c>
      <c r="B685">
        <v>31</v>
      </c>
      <c r="C685">
        <v>24</v>
      </c>
      <c r="D685" t="s">
        <v>60</v>
      </c>
      <c r="E685" t="s">
        <v>69</v>
      </c>
      <c r="F685" t="s">
        <v>58</v>
      </c>
      <c r="G685">
        <v>517</v>
      </c>
      <c r="H685">
        <v>14.08</v>
      </c>
      <c r="I685">
        <v>208</v>
      </c>
      <c r="J685">
        <v>851.01</v>
      </c>
      <c r="K685">
        <v>0</v>
      </c>
      <c r="L685" t="s">
        <v>62</v>
      </c>
      <c r="M685">
        <v>1</v>
      </c>
      <c r="N685">
        <v>2</v>
      </c>
      <c r="O685">
        <v>21.4</v>
      </c>
      <c r="P685">
        <v>2</v>
      </c>
      <c r="Q685">
        <v>1</v>
      </c>
      <c r="R685">
        <v>1</v>
      </c>
      <c r="S685" t="s">
        <v>57</v>
      </c>
      <c r="T685">
        <v>1</v>
      </c>
      <c r="U685">
        <v>0</v>
      </c>
      <c r="V685">
        <v>0</v>
      </c>
      <c r="W685">
        <v>0</v>
      </c>
      <c r="X685" t="s">
        <v>58</v>
      </c>
    </row>
    <row r="686" customHeight="1" spans="1:24">
      <c r="A686" t="s">
        <v>749</v>
      </c>
      <c r="B686">
        <v>54</v>
      </c>
      <c r="C686">
        <v>13</v>
      </c>
      <c r="D686" t="s">
        <v>72</v>
      </c>
      <c r="E686" t="s">
        <v>61</v>
      </c>
      <c r="F686" t="s">
        <v>58</v>
      </c>
      <c r="G686">
        <v>474</v>
      </c>
      <c r="H686">
        <v>9.99</v>
      </c>
      <c r="I686">
        <v>212</v>
      </c>
      <c r="J686">
        <v>1355.98</v>
      </c>
      <c r="K686">
        <v>1</v>
      </c>
      <c r="L686" t="s">
        <v>56</v>
      </c>
      <c r="M686">
        <v>0</v>
      </c>
      <c r="N686">
        <v>0</v>
      </c>
      <c r="O686">
        <v>30.6</v>
      </c>
      <c r="P686">
        <v>1</v>
      </c>
      <c r="Q686">
        <v>0</v>
      </c>
      <c r="R686">
        <v>1</v>
      </c>
      <c r="S686" t="s">
        <v>57</v>
      </c>
      <c r="T686">
        <v>0</v>
      </c>
      <c r="U686">
        <v>1</v>
      </c>
      <c r="V686">
        <v>0</v>
      </c>
      <c r="W686">
        <v>0</v>
      </c>
      <c r="X686" t="s">
        <v>58</v>
      </c>
    </row>
    <row r="687" customHeight="1" spans="1:24">
      <c r="A687" t="s">
        <v>750</v>
      </c>
      <c r="B687">
        <v>37</v>
      </c>
      <c r="C687">
        <v>51</v>
      </c>
      <c r="D687" t="s">
        <v>60</v>
      </c>
      <c r="E687" t="s">
        <v>69</v>
      </c>
      <c r="F687" t="s">
        <v>58</v>
      </c>
      <c r="G687">
        <v>593</v>
      </c>
      <c r="H687">
        <v>17.41</v>
      </c>
      <c r="I687">
        <v>180</v>
      </c>
      <c r="J687">
        <v>728.61</v>
      </c>
      <c r="K687">
        <v>0</v>
      </c>
      <c r="L687" t="s">
        <v>62</v>
      </c>
      <c r="M687">
        <v>0</v>
      </c>
      <c r="N687">
        <v>0</v>
      </c>
      <c r="O687">
        <v>18.8</v>
      </c>
      <c r="P687">
        <v>0</v>
      </c>
      <c r="Q687">
        <v>0</v>
      </c>
      <c r="R687">
        <v>0</v>
      </c>
      <c r="S687" t="s">
        <v>63</v>
      </c>
      <c r="T687">
        <v>0</v>
      </c>
      <c r="U687">
        <v>0</v>
      </c>
      <c r="V687">
        <v>1</v>
      </c>
      <c r="W687">
        <v>0</v>
      </c>
      <c r="X687" t="s">
        <v>58</v>
      </c>
    </row>
    <row r="688" customHeight="1" spans="1:24">
      <c r="A688" t="s">
        <v>751</v>
      </c>
      <c r="B688">
        <v>57</v>
      </c>
      <c r="C688">
        <v>5</v>
      </c>
      <c r="D688" t="s">
        <v>53</v>
      </c>
      <c r="E688" t="s">
        <v>76</v>
      </c>
      <c r="F688" t="s">
        <v>55</v>
      </c>
      <c r="G688">
        <v>368</v>
      </c>
      <c r="H688">
        <v>17.41</v>
      </c>
      <c r="I688">
        <v>72</v>
      </c>
      <c r="J688">
        <v>475.88</v>
      </c>
      <c r="K688">
        <v>1</v>
      </c>
      <c r="L688" t="s">
        <v>56</v>
      </c>
      <c r="M688">
        <v>1</v>
      </c>
      <c r="N688">
        <v>1</v>
      </c>
      <c r="O688">
        <v>25</v>
      </c>
      <c r="P688">
        <v>0</v>
      </c>
      <c r="Q688">
        <v>2</v>
      </c>
      <c r="R688">
        <v>0</v>
      </c>
      <c r="S688" t="s">
        <v>66</v>
      </c>
      <c r="T688">
        <v>1</v>
      </c>
      <c r="U688">
        <v>1</v>
      </c>
      <c r="V688">
        <v>1</v>
      </c>
      <c r="W688">
        <v>1</v>
      </c>
      <c r="X688" t="s">
        <v>55</v>
      </c>
    </row>
    <row r="689" customHeight="1" spans="1:24">
      <c r="A689" t="s">
        <v>752</v>
      </c>
      <c r="B689">
        <v>75</v>
      </c>
      <c r="C689">
        <v>38</v>
      </c>
      <c r="D689" t="s">
        <v>53</v>
      </c>
      <c r="E689" t="s">
        <v>54</v>
      </c>
      <c r="F689" t="s">
        <v>55</v>
      </c>
      <c r="G689">
        <v>379</v>
      </c>
      <c r="H689">
        <v>18.19</v>
      </c>
      <c r="I689">
        <v>63</v>
      </c>
      <c r="J689">
        <v>496.79</v>
      </c>
      <c r="K689">
        <v>1</v>
      </c>
      <c r="L689" t="s">
        <v>56</v>
      </c>
      <c r="M689">
        <v>0</v>
      </c>
      <c r="N689">
        <v>0</v>
      </c>
      <c r="O689">
        <v>5.9</v>
      </c>
      <c r="P689">
        <v>1</v>
      </c>
      <c r="Q689">
        <v>0</v>
      </c>
      <c r="R689">
        <v>0</v>
      </c>
      <c r="S689" t="s">
        <v>63</v>
      </c>
      <c r="T689">
        <v>0</v>
      </c>
      <c r="U689">
        <v>1</v>
      </c>
      <c r="V689">
        <v>0</v>
      </c>
      <c r="W689">
        <v>1</v>
      </c>
      <c r="X689" t="s">
        <v>55</v>
      </c>
    </row>
    <row r="690" customHeight="1" spans="1:24">
      <c r="A690" t="s">
        <v>753</v>
      </c>
      <c r="B690">
        <v>23</v>
      </c>
      <c r="C690">
        <v>53</v>
      </c>
      <c r="D690" t="s">
        <v>53</v>
      </c>
      <c r="E690" t="s">
        <v>61</v>
      </c>
      <c r="F690" t="s">
        <v>58</v>
      </c>
      <c r="G690">
        <v>426</v>
      </c>
      <c r="H690">
        <v>19.48</v>
      </c>
      <c r="I690">
        <v>105</v>
      </c>
      <c r="J690">
        <v>403.12</v>
      </c>
      <c r="K690">
        <v>1</v>
      </c>
      <c r="L690" t="s">
        <v>56</v>
      </c>
      <c r="M690">
        <v>0</v>
      </c>
      <c r="N690">
        <v>0</v>
      </c>
      <c r="O690">
        <v>24</v>
      </c>
      <c r="P690">
        <v>0</v>
      </c>
      <c r="Q690">
        <v>2</v>
      </c>
      <c r="R690">
        <v>0</v>
      </c>
      <c r="S690" t="s">
        <v>63</v>
      </c>
      <c r="T690">
        <v>0</v>
      </c>
      <c r="U690">
        <v>1</v>
      </c>
      <c r="V690">
        <v>0</v>
      </c>
      <c r="W690">
        <v>0</v>
      </c>
      <c r="X690" t="s">
        <v>58</v>
      </c>
    </row>
    <row r="691" customHeight="1" spans="1:24">
      <c r="A691" t="s">
        <v>754</v>
      </c>
      <c r="B691">
        <v>55</v>
      </c>
      <c r="C691">
        <v>69</v>
      </c>
      <c r="D691" t="s">
        <v>60</v>
      </c>
      <c r="E691" t="s">
        <v>61</v>
      </c>
      <c r="F691" t="s">
        <v>55</v>
      </c>
      <c r="G691">
        <v>534</v>
      </c>
      <c r="H691">
        <v>16.09</v>
      </c>
      <c r="I691">
        <v>29</v>
      </c>
      <c r="J691">
        <v>784.98</v>
      </c>
      <c r="K691">
        <v>0</v>
      </c>
      <c r="L691" t="s">
        <v>62</v>
      </c>
      <c r="M691">
        <v>0</v>
      </c>
      <c r="N691">
        <v>0</v>
      </c>
      <c r="O691">
        <v>24.5</v>
      </c>
      <c r="P691">
        <v>2</v>
      </c>
      <c r="Q691">
        <v>3</v>
      </c>
      <c r="R691">
        <v>0</v>
      </c>
      <c r="S691" t="s">
        <v>63</v>
      </c>
      <c r="T691">
        <v>0</v>
      </c>
      <c r="U691">
        <v>0</v>
      </c>
      <c r="V691">
        <v>0</v>
      </c>
      <c r="W691">
        <v>1</v>
      </c>
      <c r="X691" t="s">
        <v>55</v>
      </c>
    </row>
    <row r="692" customHeight="1" spans="1:24">
      <c r="A692" t="s">
        <v>755</v>
      </c>
      <c r="B692">
        <v>65</v>
      </c>
      <c r="C692">
        <v>21</v>
      </c>
      <c r="D692" t="s">
        <v>60</v>
      </c>
      <c r="E692" t="s">
        <v>65</v>
      </c>
      <c r="F692" t="s">
        <v>58</v>
      </c>
      <c r="G692">
        <v>179</v>
      </c>
      <c r="H692">
        <v>13.77</v>
      </c>
      <c r="I692">
        <v>53</v>
      </c>
      <c r="J692">
        <v>742.87</v>
      </c>
      <c r="K692">
        <v>0</v>
      </c>
      <c r="L692" t="s">
        <v>62</v>
      </c>
      <c r="M692">
        <v>0</v>
      </c>
      <c r="N692">
        <v>0</v>
      </c>
      <c r="O692">
        <v>45.6</v>
      </c>
      <c r="P692">
        <v>0</v>
      </c>
      <c r="Q692">
        <v>0</v>
      </c>
      <c r="R692">
        <v>0</v>
      </c>
      <c r="S692" t="s">
        <v>57</v>
      </c>
      <c r="T692">
        <v>0</v>
      </c>
      <c r="U692">
        <v>0</v>
      </c>
      <c r="V692">
        <v>0</v>
      </c>
      <c r="W692">
        <v>0</v>
      </c>
      <c r="X692" t="s">
        <v>58</v>
      </c>
    </row>
    <row r="693" customHeight="1" spans="1:24">
      <c r="A693" t="s">
        <v>756</v>
      </c>
      <c r="B693">
        <v>26</v>
      </c>
      <c r="C693">
        <v>1</v>
      </c>
      <c r="D693" t="s">
        <v>60</v>
      </c>
      <c r="E693" t="s">
        <v>54</v>
      </c>
      <c r="F693" t="s">
        <v>55</v>
      </c>
      <c r="G693">
        <v>510</v>
      </c>
      <c r="H693">
        <v>14.49</v>
      </c>
      <c r="I693">
        <v>165</v>
      </c>
      <c r="J693">
        <v>644.72</v>
      </c>
      <c r="K693">
        <v>0</v>
      </c>
      <c r="L693" t="s">
        <v>62</v>
      </c>
      <c r="M693">
        <v>1</v>
      </c>
      <c r="N693">
        <v>1</v>
      </c>
      <c r="O693">
        <v>2.5</v>
      </c>
      <c r="P693">
        <v>1</v>
      </c>
      <c r="Q693">
        <v>0</v>
      </c>
      <c r="R693">
        <v>0</v>
      </c>
      <c r="S693" t="s">
        <v>66</v>
      </c>
      <c r="T693">
        <v>1</v>
      </c>
      <c r="U693">
        <v>0</v>
      </c>
      <c r="V693">
        <v>0</v>
      </c>
      <c r="W693">
        <v>1</v>
      </c>
      <c r="X693" t="s">
        <v>58</v>
      </c>
    </row>
    <row r="694" customHeight="1" spans="1:24">
      <c r="A694" t="s">
        <v>757</v>
      </c>
      <c r="B694">
        <v>63</v>
      </c>
      <c r="C694">
        <v>53</v>
      </c>
      <c r="D694" t="s">
        <v>60</v>
      </c>
      <c r="E694" t="s">
        <v>76</v>
      </c>
      <c r="F694" t="s">
        <v>58</v>
      </c>
      <c r="G694">
        <v>397</v>
      </c>
      <c r="H694">
        <v>43.08</v>
      </c>
      <c r="I694">
        <v>165</v>
      </c>
      <c r="J694">
        <v>689.09</v>
      </c>
      <c r="K694">
        <v>0</v>
      </c>
      <c r="L694" t="s">
        <v>62</v>
      </c>
      <c r="M694">
        <v>0</v>
      </c>
      <c r="N694">
        <v>0</v>
      </c>
      <c r="O694">
        <v>20.6</v>
      </c>
      <c r="P694">
        <v>0</v>
      </c>
      <c r="Q694">
        <v>0</v>
      </c>
      <c r="R694">
        <v>1</v>
      </c>
      <c r="S694" t="s">
        <v>63</v>
      </c>
      <c r="T694">
        <v>0</v>
      </c>
      <c r="U694">
        <v>0</v>
      </c>
      <c r="V694">
        <v>0</v>
      </c>
      <c r="W694">
        <v>0</v>
      </c>
      <c r="X694" t="s">
        <v>58</v>
      </c>
    </row>
    <row r="695" customHeight="1" spans="1:24">
      <c r="A695" t="s">
        <v>758</v>
      </c>
      <c r="B695">
        <v>47</v>
      </c>
      <c r="C695">
        <v>1</v>
      </c>
      <c r="D695" t="s">
        <v>72</v>
      </c>
      <c r="E695" t="s">
        <v>61</v>
      </c>
      <c r="F695" t="s">
        <v>55</v>
      </c>
      <c r="G695">
        <v>241</v>
      </c>
      <c r="H695">
        <v>10.29</v>
      </c>
      <c r="I695">
        <v>47</v>
      </c>
      <c r="J695">
        <v>1212.02</v>
      </c>
      <c r="K695">
        <v>2</v>
      </c>
      <c r="L695" t="s">
        <v>56</v>
      </c>
      <c r="M695">
        <v>0</v>
      </c>
      <c r="N695">
        <v>0</v>
      </c>
      <c r="O695">
        <v>39.5</v>
      </c>
      <c r="P695">
        <v>1</v>
      </c>
      <c r="Q695">
        <v>1</v>
      </c>
      <c r="R695">
        <v>0</v>
      </c>
      <c r="S695" t="s">
        <v>66</v>
      </c>
      <c r="T695">
        <v>0</v>
      </c>
      <c r="U695">
        <v>1</v>
      </c>
      <c r="V695">
        <v>0</v>
      </c>
      <c r="W695">
        <v>1</v>
      </c>
      <c r="X695" t="s">
        <v>55</v>
      </c>
    </row>
    <row r="696" customHeight="1" spans="1:24">
      <c r="A696" t="s">
        <v>759</v>
      </c>
      <c r="B696">
        <v>54</v>
      </c>
      <c r="C696">
        <v>5</v>
      </c>
      <c r="D696" t="s">
        <v>72</v>
      </c>
      <c r="E696" t="s">
        <v>65</v>
      </c>
      <c r="F696" t="s">
        <v>55</v>
      </c>
      <c r="G696">
        <v>87</v>
      </c>
      <c r="H696">
        <v>12.42</v>
      </c>
      <c r="I696">
        <v>167</v>
      </c>
      <c r="J696">
        <v>1219.2</v>
      </c>
      <c r="K696">
        <v>1</v>
      </c>
      <c r="L696" t="s">
        <v>56</v>
      </c>
      <c r="M696">
        <v>0</v>
      </c>
      <c r="N696">
        <v>0</v>
      </c>
      <c r="O696">
        <v>21.1</v>
      </c>
      <c r="P696">
        <v>2</v>
      </c>
      <c r="Q696">
        <v>0</v>
      </c>
      <c r="R696">
        <v>0</v>
      </c>
      <c r="S696" t="s">
        <v>66</v>
      </c>
      <c r="T696">
        <v>0</v>
      </c>
      <c r="U696">
        <v>1</v>
      </c>
      <c r="V696">
        <v>0</v>
      </c>
      <c r="W696">
        <v>1</v>
      </c>
      <c r="X696" t="s">
        <v>55</v>
      </c>
    </row>
    <row r="697" customHeight="1" spans="1:24">
      <c r="A697" t="s">
        <v>760</v>
      </c>
      <c r="B697">
        <v>20</v>
      </c>
      <c r="C697">
        <v>72</v>
      </c>
      <c r="D697" t="s">
        <v>53</v>
      </c>
      <c r="E697" t="s">
        <v>61</v>
      </c>
      <c r="F697" t="s">
        <v>58</v>
      </c>
      <c r="G697">
        <v>380</v>
      </c>
      <c r="H697">
        <v>50.94</v>
      </c>
      <c r="I697">
        <v>152</v>
      </c>
      <c r="J697">
        <v>487.62</v>
      </c>
      <c r="K697">
        <v>1</v>
      </c>
      <c r="L697" t="s">
        <v>56</v>
      </c>
      <c r="M697">
        <v>0</v>
      </c>
      <c r="N697">
        <v>2</v>
      </c>
      <c r="O697">
        <v>21.9</v>
      </c>
      <c r="P697">
        <v>1</v>
      </c>
      <c r="Q697">
        <v>1</v>
      </c>
      <c r="R697">
        <v>0</v>
      </c>
      <c r="S697" t="s">
        <v>63</v>
      </c>
      <c r="T697">
        <v>0</v>
      </c>
      <c r="U697">
        <v>1</v>
      </c>
      <c r="V697">
        <v>0</v>
      </c>
      <c r="W697">
        <v>0</v>
      </c>
      <c r="X697" t="s">
        <v>58</v>
      </c>
    </row>
    <row r="698" customHeight="1" spans="1:24">
      <c r="A698" t="s">
        <v>761</v>
      </c>
      <c r="B698">
        <v>43</v>
      </c>
      <c r="C698">
        <v>63</v>
      </c>
      <c r="D698" t="s">
        <v>60</v>
      </c>
      <c r="E698" t="s">
        <v>61</v>
      </c>
      <c r="F698" t="s">
        <v>58</v>
      </c>
      <c r="G698">
        <v>617</v>
      </c>
      <c r="H698">
        <v>22.21</v>
      </c>
      <c r="I698">
        <v>226</v>
      </c>
      <c r="J698">
        <v>780.53</v>
      </c>
      <c r="K698">
        <v>0</v>
      </c>
      <c r="L698" t="s">
        <v>62</v>
      </c>
      <c r="M698">
        <v>0</v>
      </c>
      <c r="N698">
        <v>0</v>
      </c>
      <c r="O698">
        <v>14</v>
      </c>
      <c r="P698">
        <v>2</v>
      </c>
      <c r="Q698">
        <v>1</v>
      </c>
      <c r="R698">
        <v>1</v>
      </c>
      <c r="S698" t="s">
        <v>63</v>
      </c>
      <c r="T698">
        <v>0</v>
      </c>
      <c r="U698">
        <v>0</v>
      </c>
      <c r="V698">
        <v>0</v>
      </c>
      <c r="W698">
        <v>0</v>
      </c>
      <c r="X698" t="s">
        <v>58</v>
      </c>
    </row>
    <row r="699" customHeight="1" spans="1:24">
      <c r="A699" t="s">
        <v>762</v>
      </c>
      <c r="B699">
        <v>39</v>
      </c>
      <c r="C699">
        <v>51</v>
      </c>
      <c r="D699" t="s">
        <v>60</v>
      </c>
      <c r="E699" t="s">
        <v>65</v>
      </c>
      <c r="F699" t="s">
        <v>58</v>
      </c>
      <c r="G699">
        <v>651</v>
      </c>
      <c r="H699">
        <v>4.2</v>
      </c>
      <c r="I699">
        <v>160</v>
      </c>
      <c r="J699">
        <v>735.39</v>
      </c>
      <c r="K699">
        <v>1</v>
      </c>
      <c r="L699" t="s">
        <v>56</v>
      </c>
      <c r="M699">
        <v>0</v>
      </c>
      <c r="N699">
        <v>0</v>
      </c>
      <c r="O699">
        <v>12.8</v>
      </c>
      <c r="P699">
        <v>0</v>
      </c>
      <c r="Q699">
        <v>0</v>
      </c>
      <c r="R699">
        <v>2</v>
      </c>
      <c r="S699" t="s">
        <v>63</v>
      </c>
      <c r="T699">
        <v>0</v>
      </c>
      <c r="U699">
        <v>1</v>
      </c>
      <c r="V699">
        <v>1</v>
      </c>
      <c r="W699">
        <v>0</v>
      </c>
      <c r="X699" t="s">
        <v>58</v>
      </c>
    </row>
    <row r="700" customHeight="1" spans="1:24">
      <c r="A700" t="s">
        <v>763</v>
      </c>
      <c r="B700">
        <v>26</v>
      </c>
      <c r="C700">
        <v>61</v>
      </c>
      <c r="D700" t="s">
        <v>60</v>
      </c>
      <c r="E700" t="s">
        <v>76</v>
      </c>
      <c r="F700" t="s">
        <v>58</v>
      </c>
      <c r="G700">
        <v>453</v>
      </c>
      <c r="H700">
        <v>26.43</v>
      </c>
      <c r="I700">
        <v>194</v>
      </c>
      <c r="J700">
        <v>1095.4</v>
      </c>
      <c r="K700">
        <v>0</v>
      </c>
      <c r="L700" t="s">
        <v>62</v>
      </c>
      <c r="M700">
        <v>0</v>
      </c>
      <c r="N700">
        <v>0</v>
      </c>
      <c r="O700">
        <v>2.1</v>
      </c>
      <c r="P700">
        <v>0</v>
      </c>
      <c r="Q700">
        <v>0</v>
      </c>
      <c r="R700">
        <v>0</v>
      </c>
      <c r="S700" t="s">
        <v>63</v>
      </c>
      <c r="T700">
        <v>0</v>
      </c>
      <c r="U700">
        <v>0</v>
      </c>
      <c r="V700">
        <v>0</v>
      </c>
      <c r="W700">
        <v>0</v>
      </c>
      <c r="X700" t="s">
        <v>58</v>
      </c>
    </row>
    <row r="701" customHeight="1" spans="1:24">
      <c r="A701" t="s">
        <v>764</v>
      </c>
      <c r="B701">
        <v>62</v>
      </c>
      <c r="C701">
        <v>6</v>
      </c>
      <c r="D701" t="s">
        <v>53</v>
      </c>
      <c r="E701" t="s">
        <v>54</v>
      </c>
      <c r="F701" t="s">
        <v>55</v>
      </c>
      <c r="G701">
        <v>694</v>
      </c>
      <c r="H701">
        <v>8.9</v>
      </c>
      <c r="I701">
        <v>153</v>
      </c>
      <c r="J701">
        <v>434.07</v>
      </c>
      <c r="K701">
        <v>1</v>
      </c>
      <c r="L701" t="s">
        <v>56</v>
      </c>
      <c r="M701">
        <v>1</v>
      </c>
      <c r="N701">
        <v>3</v>
      </c>
      <c r="O701">
        <v>16.4</v>
      </c>
      <c r="P701">
        <v>3</v>
      </c>
      <c r="Q701">
        <v>0</v>
      </c>
      <c r="R701">
        <v>1</v>
      </c>
      <c r="S701" t="s">
        <v>66</v>
      </c>
      <c r="T701">
        <v>1</v>
      </c>
      <c r="U701">
        <v>1</v>
      </c>
      <c r="V701">
        <v>0</v>
      </c>
      <c r="W701">
        <v>1</v>
      </c>
      <c r="X701" t="s">
        <v>55</v>
      </c>
    </row>
    <row r="702" customHeight="1" spans="1:24">
      <c r="A702" t="s">
        <v>765</v>
      </c>
      <c r="B702">
        <v>47</v>
      </c>
      <c r="C702">
        <v>7</v>
      </c>
      <c r="D702" t="s">
        <v>72</v>
      </c>
      <c r="E702" t="s">
        <v>76</v>
      </c>
      <c r="F702" t="s">
        <v>55</v>
      </c>
      <c r="G702">
        <v>394</v>
      </c>
      <c r="H702">
        <v>27.09</v>
      </c>
      <c r="I702">
        <v>189</v>
      </c>
      <c r="J702">
        <v>1311.85</v>
      </c>
      <c r="K702">
        <v>1</v>
      </c>
      <c r="L702" t="s">
        <v>56</v>
      </c>
      <c r="M702">
        <v>0</v>
      </c>
      <c r="N702">
        <v>0</v>
      </c>
      <c r="O702">
        <v>12.1</v>
      </c>
      <c r="P702">
        <v>2</v>
      </c>
      <c r="Q702">
        <v>0</v>
      </c>
      <c r="R702">
        <v>0</v>
      </c>
      <c r="S702" t="s">
        <v>57</v>
      </c>
      <c r="T702">
        <v>0</v>
      </c>
      <c r="U702">
        <v>1</v>
      </c>
      <c r="V702">
        <v>0</v>
      </c>
      <c r="W702">
        <v>1</v>
      </c>
      <c r="X702" t="s">
        <v>55</v>
      </c>
    </row>
    <row r="703" customHeight="1" spans="1:24">
      <c r="A703" t="s">
        <v>766</v>
      </c>
      <c r="B703">
        <v>68</v>
      </c>
      <c r="C703">
        <v>22</v>
      </c>
      <c r="D703" t="s">
        <v>72</v>
      </c>
      <c r="E703" t="s">
        <v>54</v>
      </c>
      <c r="F703" t="s">
        <v>55</v>
      </c>
      <c r="G703">
        <v>543</v>
      </c>
      <c r="H703">
        <v>15.89</v>
      </c>
      <c r="I703">
        <v>30</v>
      </c>
      <c r="J703">
        <v>897.73</v>
      </c>
      <c r="K703">
        <v>4</v>
      </c>
      <c r="L703" t="s">
        <v>56</v>
      </c>
      <c r="M703">
        <v>0</v>
      </c>
      <c r="N703">
        <v>0</v>
      </c>
      <c r="O703">
        <v>23.7</v>
      </c>
      <c r="P703">
        <v>3</v>
      </c>
      <c r="Q703">
        <v>0</v>
      </c>
      <c r="R703">
        <v>0</v>
      </c>
      <c r="S703" t="s">
        <v>57</v>
      </c>
      <c r="T703">
        <v>0</v>
      </c>
      <c r="U703">
        <v>1</v>
      </c>
      <c r="V703">
        <v>0</v>
      </c>
      <c r="W703">
        <v>1</v>
      </c>
      <c r="X703" t="s">
        <v>58</v>
      </c>
    </row>
    <row r="704" customHeight="1" spans="1:24">
      <c r="A704" t="s">
        <v>767</v>
      </c>
      <c r="B704">
        <v>27</v>
      </c>
      <c r="C704">
        <v>2</v>
      </c>
      <c r="D704" t="s">
        <v>60</v>
      </c>
      <c r="E704" t="s">
        <v>61</v>
      </c>
      <c r="F704" t="s">
        <v>58</v>
      </c>
      <c r="G704">
        <v>332</v>
      </c>
      <c r="H704">
        <v>13.6</v>
      </c>
      <c r="I704">
        <v>111</v>
      </c>
      <c r="J704">
        <v>565.9</v>
      </c>
      <c r="K704">
        <v>0</v>
      </c>
      <c r="L704" t="s">
        <v>62</v>
      </c>
      <c r="M704">
        <v>2</v>
      </c>
      <c r="N704">
        <v>2</v>
      </c>
      <c r="O704">
        <v>14.5</v>
      </c>
      <c r="P704">
        <v>2</v>
      </c>
      <c r="Q704">
        <v>1</v>
      </c>
      <c r="R704">
        <v>0</v>
      </c>
      <c r="S704" t="s">
        <v>66</v>
      </c>
      <c r="T704">
        <v>1</v>
      </c>
      <c r="U704">
        <v>0</v>
      </c>
      <c r="V704">
        <v>0</v>
      </c>
      <c r="W704">
        <v>0</v>
      </c>
      <c r="X704" t="s">
        <v>58</v>
      </c>
    </row>
    <row r="705" customHeight="1" spans="1:24">
      <c r="A705" t="s">
        <v>768</v>
      </c>
      <c r="B705">
        <v>60</v>
      </c>
      <c r="C705">
        <v>64</v>
      </c>
      <c r="D705" t="s">
        <v>72</v>
      </c>
      <c r="E705" t="s">
        <v>61</v>
      </c>
      <c r="F705" t="s">
        <v>58</v>
      </c>
      <c r="G705">
        <v>323</v>
      </c>
      <c r="H705">
        <v>34.09</v>
      </c>
      <c r="I705">
        <v>117</v>
      </c>
      <c r="J705">
        <v>1387.79</v>
      </c>
      <c r="K705">
        <v>2</v>
      </c>
      <c r="L705" t="s">
        <v>56</v>
      </c>
      <c r="M705">
        <v>0</v>
      </c>
      <c r="N705">
        <v>0</v>
      </c>
      <c r="O705">
        <v>23.7</v>
      </c>
      <c r="P705">
        <v>1</v>
      </c>
      <c r="Q705">
        <v>0</v>
      </c>
      <c r="R705">
        <v>1</v>
      </c>
      <c r="S705" t="s">
        <v>63</v>
      </c>
      <c r="T705">
        <v>0</v>
      </c>
      <c r="U705">
        <v>1</v>
      </c>
      <c r="V705">
        <v>0</v>
      </c>
      <c r="W705">
        <v>0</v>
      </c>
      <c r="X705" t="s">
        <v>58</v>
      </c>
    </row>
    <row r="706" customHeight="1" spans="1:24">
      <c r="A706" t="s">
        <v>769</v>
      </c>
      <c r="B706">
        <v>53</v>
      </c>
      <c r="C706">
        <v>5</v>
      </c>
      <c r="D706" t="s">
        <v>72</v>
      </c>
      <c r="E706" t="s">
        <v>61</v>
      </c>
      <c r="F706" t="s">
        <v>55</v>
      </c>
      <c r="G706">
        <v>298</v>
      </c>
      <c r="H706">
        <v>23.66</v>
      </c>
      <c r="I706">
        <v>103</v>
      </c>
      <c r="J706">
        <v>1035.91</v>
      </c>
      <c r="K706">
        <v>0</v>
      </c>
      <c r="L706" t="s">
        <v>62</v>
      </c>
      <c r="M706">
        <v>1</v>
      </c>
      <c r="N706">
        <v>2</v>
      </c>
      <c r="O706">
        <v>18.6</v>
      </c>
      <c r="P706">
        <v>1</v>
      </c>
      <c r="Q706">
        <v>0</v>
      </c>
      <c r="R706">
        <v>0</v>
      </c>
      <c r="S706" t="s">
        <v>66</v>
      </c>
      <c r="T706">
        <v>1</v>
      </c>
      <c r="U706">
        <v>0</v>
      </c>
      <c r="V706">
        <v>0</v>
      </c>
      <c r="W706">
        <v>1</v>
      </c>
      <c r="X706" t="s">
        <v>55</v>
      </c>
    </row>
    <row r="707" customHeight="1" spans="1:24">
      <c r="A707" t="s">
        <v>770</v>
      </c>
      <c r="B707">
        <v>55</v>
      </c>
      <c r="C707">
        <v>40</v>
      </c>
      <c r="D707" t="s">
        <v>60</v>
      </c>
      <c r="E707" t="s">
        <v>69</v>
      </c>
      <c r="F707" t="s">
        <v>55</v>
      </c>
      <c r="G707">
        <v>91</v>
      </c>
      <c r="H707">
        <v>27.73</v>
      </c>
      <c r="I707">
        <v>151</v>
      </c>
      <c r="J707">
        <v>738.38</v>
      </c>
      <c r="K707">
        <v>0</v>
      </c>
      <c r="L707" t="s">
        <v>62</v>
      </c>
      <c r="M707">
        <v>0</v>
      </c>
      <c r="N707">
        <v>1</v>
      </c>
      <c r="O707">
        <v>23.4</v>
      </c>
      <c r="P707">
        <v>2</v>
      </c>
      <c r="Q707">
        <v>0</v>
      </c>
      <c r="R707">
        <v>0</v>
      </c>
      <c r="S707" t="s">
        <v>63</v>
      </c>
      <c r="T707">
        <v>0</v>
      </c>
      <c r="U707">
        <v>0</v>
      </c>
      <c r="V707">
        <v>0</v>
      </c>
      <c r="W707">
        <v>1</v>
      </c>
      <c r="X707" t="s">
        <v>58</v>
      </c>
    </row>
    <row r="708" customHeight="1" spans="1:24">
      <c r="A708" t="s">
        <v>771</v>
      </c>
      <c r="B708">
        <v>35</v>
      </c>
      <c r="C708">
        <v>62</v>
      </c>
      <c r="D708" t="s">
        <v>60</v>
      </c>
      <c r="E708" t="s">
        <v>65</v>
      </c>
      <c r="F708" t="s">
        <v>58</v>
      </c>
      <c r="G708">
        <v>593</v>
      </c>
      <c r="H708">
        <v>22.35</v>
      </c>
      <c r="I708">
        <v>164</v>
      </c>
      <c r="J708">
        <v>576.67</v>
      </c>
      <c r="K708">
        <v>0</v>
      </c>
      <c r="L708" t="s">
        <v>62</v>
      </c>
      <c r="M708">
        <v>1</v>
      </c>
      <c r="N708">
        <v>1</v>
      </c>
      <c r="O708">
        <v>17.7</v>
      </c>
      <c r="P708">
        <v>0</v>
      </c>
      <c r="Q708">
        <v>0</v>
      </c>
      <c r="R708">
        <v>2</v>
      </c>
      <c r="S708" t="s">
        <v>63</v>
      </c>
      <c r="T708">
        <v>1</v>
      </c>
      <c r="U708">
        <v>0</v>
      </c>
      <c r="V708">
        <v>0</v>
      </c>
      <c r="W708">
        <v>0</v>
      </c>
      <c r="X708" t="s">
        <v>58</v>
      </c>
    </row>
    <row r="709" customHeight="1" spans="1:24">
      <c r="A709" t="s">
        <v>772</v>
      </c>
      <c r="B709">
        <v>58</v>
      </c>
      <c r="C709">
        <v>53</v>
      </c>
      <c r="D709" t="s">
        <v>60</v>
      </c>
      <c r="E709" t="s">
        <v>61</v>
      </c>
      <c r="F709" t="s">
        <v>58</v>
      </c>
      <c r="G709">
        <v>304</v>
      </c>
      <c r="H709">
        <v>13.56</v>
      </c>
      <c r="I709">
        <v>147</v>
      </c>
      <c r="J709">
        <v>710.41</v>
      </c>
      <c r="K709">
        <v>1</v>
      </c>
      <c r="L709" t="s">
        <v>56</v>
      </c>
      <c r="M709">
        <v>3</v>
      </c>
      <c r="N709">
        <v>5</v>
      </c>
      <c r="O709">
        <v>11.3</v>
      </c>
      <c r="P709">
        <v>1</v>
      </c>
      <c r="Q709">
        <v>0</v>
      </c>
      <c r="R709">
        <v>0</v>
      </c>
      <c r="S709" t="s">
        <v>63</v>
      </c>
      <c r="T709">
        <v>1</v>
      </c>
      <c r="U709">
        <v>1</v>
      </c>
      <c r="V709">
        <v>0</v>
      </c>
      <c r="W709">
        <v>0</v>
      </c>
      <c r="X709" t="s">
        <v>58</v>
      </c>
    </row>
    <row r="710" customHeight="1" spans="1:24">
      <c r="A710" t="s">
        <v>773</v>
      </c>
      <c r="B710">
        <v>32</v>
      </c>
      <c r="C710">
        <v>17</v>
      </c>
      <c r="D710" t="s">
        <v>72</v>
      </c>
      <c r="E710" t="s">
        <v>76</v>
      </c>
      <c r="F710" t="s">
        <v>58</v>
      </c>
      <c r="G710">
        <v>280</v>
      </c>
      <c r="H710">
        <v>24.11</v>
      </c>
      <c r="I710">
        <v>108</v>
      </c>
      <c r="J710">
        <v>1137.5</v>
      </c>
      <c r="K710">
        <v>0</v>
      </c>
      <c r="L710" t="s">
        <v>62</v>
      </c>
      <c r="M710">
        <v>1</v>
      </c>
      <c r="N710">
        <v>3</v>
      </c>
      <c r="O710">
        <v>25</v>
      </c>
      <c r="P710">
        <v>1</v>
      </c>
      <c r="Q710">
        <v>1</v>
      </c>
      <c r="R710">
        <v>0</v>
      </c>
      <c r="S710" t="s">
        <v>57</v>
      </c>
      <c r="T710">
        <v>1</v>
      </c>
      <c r="U710">
        <v>0</v>
      </c>
      <c r="V710">
        <v>0</v>
      </c>
      <c r="W710">
        <v>0</v>
      </c>
      <c r="X710" t="s">
        <v>58</v>
      </c>
    </row>
    <row r="711" customHeight="1" spans="1:24">
      <c r="A711" t="s">
        <v>774</v>
      </c>
      <c r="B711">
        <v>62</v>
      </c>
      <c r="C711">
        <v>34</v>
      </c>
      <c r="D711" t="s">
        <v>53</v>
      </c>
      <c r="E711" t="s">
        <v>54</v>
      </c>
      <c r="F711" t="s">
        <v>58</v>
      </c>
      <c r="G711">
        <v>223</v>
      </c>
      <c r="H711">
        <v>30.09</v>
      </c>
      <c r="I711">
        <v>68</v>
      </c>
      <c r="J711">
        <v>479.29</v>
      </c>
      <c r="K711">
        <v>0</v>
      </c>
      <c r="L711" t="s">
        <v>62</v>
      </c>
      <c r="M711">
        <v>4</v>
      </c>
      <c r="N711">
        <v>4</v>
      </c>
      <c r="O711">
        <v>36.8</v>
      </c>
      <c r="P711">
        <v>2</v>
      </c>
      <c r="Q711">
        <v>2</v>
      </c>
      <c r="R711">
        <v>0</v>
      </c>
      <c r="S711" t="s">
        <v>63</v>
      </c>
      <c r="T711">
        <v>1</v>
      </c>
      <c r="U711">
        <v>0</v>
      </c>
      <c r="V711">
        <v>0</v>
      </c>
      <c r="W711">
        <v>0</v>
      </c>
      <c r="X711" t="s">
        <v>58</v>
      </c>
    </row>
    <row r="712" customHeight="1" spans="1:24">
      <c r="A712" t="s">
        <v>775</v>
      </c>
      <c r="B712">
        <v>43</v>
      </c>
      <c r="C712">
        <v>40</v>
      </c>
      <c r="D712" t="s">
        <v>60</v>
      </c>
      <c r="E712" t="s">
        <v>54</v>
      </c>
      <c r="F712" t="s">
        <v>58</v>
      </c>
      <c r="G712">
        <v>369</v>
      </c>
      <c r="H712">
        <v>19.35</v>
      </c>
      <c r="I712">
        <v>197</v>
      </c>
      <c r="J712">
        <v>666.11</v>
      </c>
      <c r="K712">
        <v>0</v>
      </c>
      <c r="L712" t="s">
        <v>62</v>
      </c>
      <c r="M712">
        <v>0</v>
      </c>
      <c r="N712">
        <v>0</v>
      </c>
      <c r="O712">
        <v>25.5</v>
      </c>
      <c r="P712">
        <v>2</v>
      </c>
      <c r="Q712">
        <v>0</v>
      </c>
      <c r="R712">
        <v>0</v>
      </c>
      <c r="S712" t="s">
        <v>63</v>
      </c>
      <c r="T712">
        <v>0</v>
      </c>
      <c r="U712">
        <v>0</v>
      </c>
      <c r="V712">
        <v>0</v>
      </c>
      <c r="W712">
        <v>0</v>
      </c>
      <c r="X712" t="s">
        <v>58</v>
      </c>
    </row>
    <row r="713" customHeight="1" spans="1:24">
      <c r="A713" t="s">
        <v>776</v>
      </c>
      <c r="B713">
        <v>45</v>
      </c>
      <c r="C713">
        <v>56</v>
      </c>
      <c r="D713" t="s">
        <v>72</v>
      </c>
      <c r="E713" t="s">
        <v>61</v>
      </c>
      <c r="F713" t="s">
        <v>58</v>
      </c>
      <c r="G713">
        <v>665</v>
      </c>
      <c r="H713">
        <v>36.02</v>
      </c>
      <c r="I713">
        <v>144</v>
      </c>
      <c r="J713">
        <v>1249.22</v>
      </c>
      <c r="K713">
        <v>1</v>
      </c>
      <c r="L713" t="s">
        <v>56</v>
      </c>
      <c r="M713">
        <v>1</v>
      </c>
      <c r="N713">
        <v>3</v>
      </c>
      <c r="O713">
        <v>16.7</v>
      </c>
      <c r="P713">
        <v>0</v>
      </c>
      <c r="Q713">
        <v>0</v>
      </c>
      <c r="R713">
        <v>0</v>
      </c>
      <c r="S713" t="s">
        <v>63</v>
      </c>
      <c r="T713">
        <v>1</v>
      </c>
      <c r="U713">
        <v>1</v>
      </c>
      <c r="V713">
        <v>0</v>
      </c>
      <c r="W713">
        <v>0</v>
      </c>
      <c r="X713" t="s">
        <v>58</v>
      </c>
    </row>
    <row r="714" customHeight="1" spans="1:24">
      <c r="A714" t="s">
        <v>777</v>
      </c>
      <c r="B714">
        <v>51</v>
      </c>
      <c r="C714">
        <v>31</v>
      </c>
      <c r="D714" t="s">
        <v>53</v>
      </c>
      <c r="E714" t="s">
        <v>76</v>
      </c>
      <c r="F714" t="s">
        <v>58</v>
      </c>
      <c r="G714">
        <v>714</v>
      </c>
      <c r="H714">
        <v>26.5</v>
      </c>
      <c r="I714">
        <v>49</v>
      </c>
      <c r="J714">
        <v>395.65</v>
      </c>
      <c r="K714">
        <v>0</v>
      </c>
      <c r="L714" t="s">
        <v>62</v>
      </c>
      <c r="M714">
        <v>0</v>
      </c>
      <c r="N714">
        <v>0</v>
      </c>
      <c r="O714">
        <v>22.5</v>
      </c>
      <c r="P714">
        <v>1</v>
      </c>
      <c r="Q714">
        <v>1</v>
      </c>
      <c r="R714">
        <v>1</v>
      </c>
      <c r="S714" t="s">
        <v>63</v>
      </c>
      <c r="T714">
        <v>0</v>
      </c>
      <c r="U714">
        <v>0</v>
      </c>
      <c r="V714">
        <v>0</v>
      </c>
      <c r="W714">
        <v>0</v>
      </c>
      <c r="X714" t="s">
        <v>58</v>
      </c>
    </row>
    <row r="715" customHeight="1" spans="1:24">
      <c r="A715" t="s">
        <v>778</v>
      </c>
      <c r="B715">
        <v>22</v>
      </c>
      <c r="C715">
        <v>21</v>
      </c>
      <c r="D715" t="s">
        <v>72</v>
      </c>
      <c r="E715" t="s">
        <v>65</v>
      </c>
      <c r="F715" t="s">
        <v>55</v>
      </c>
      <c r="G715">
        <v>151</v>
      </c>
      <c r="H715">
        <v>20.12</v>
      </c>
      <c r="I715">
        <v>106</v>
      </c>
      <c r="J715">
        <v>1052.91</v>
      </c>
      <c r="K715">
        <v>0</v>
      </c>
      <c r="L715" t="s">
        <v>62</v>
      </c>
      <c r="M715">
        <v>0</v>
      </c>
      <c r="N715">
        <v>0</v>
      </c>
      <c r="O715">
        <v>1</v>
      </c>
      <c r="P715">
        <v>3</v>
      </c>
      <c r="Q715">
        <v>0</v>
      </c>
      <c r="R715">
        <v>0</v>
      </c>
      <c r="S715" t="s">
        <v>57</v>
      </c>
      <c r="T715">
        <v>0</v>
      </c>
      <c r="U715">
        <v>0</v>
      </c>
      <c r="V715">
        <v>0</v>
      </c>
      <c r="W715">
        <v>1</v>
      </c>
      <c r="X715" t="s">
        <v>55</v>
      </c>
    </row>
    <row r="716" customHeight="1" spans="1:24">
      <c r="A716" t="s">
        <v>779</v>
      </c>
      <c r="B716">
        <v>39</v>
      </c>
      <c r="C716">
        <v>58</v>
      </c>
      <c r="D716" t="s">
        <v>60</v>
      </c>
      <c r="E716" t="s">
        <v>54</v>
      </c>
      <c r="F716" t="s">
        <v>58</v>
      </c>
      <c r="G716">
        <v>347</v>
      </c>
      <c r="H716">
        <v>20.51</v>
      </c>
      <c r="I716">
        <v>0</v>
      </c>
      <c r="J716">
        <v>883.82</v>
      </c>
      <c r="K716">
        <v>2</v>
      </c>
      <c r="L716" t="s">
        <v>56</v>
      </c>
      <c r="M716">
        <v>1</v>
      </c>
      <c r="N716">
        <v>2</v>
      </c>
      <c r="O716">
        <v>22.3</v>
      </c>
      <c r="P716">
        <v>0</v>
      </c>
      <c r="Q716">
        <v>1</v>
      </c>
      <c r="R716">
        <v>0</v>
      </c>
      <c r="S716" t="s">
        <v>63</v>
      </c>
      <c r="T716">
        <v>1</v>
      </c>
      <c r="U716">
        <v>1</v>
      </c>
      <c r="V716">
        <v>0</v>
      </c>
      <c r="W716">
        <v>0</v>
      </c>
      <c r="X716" t="s">
        <v>58</v>
      </c>
    </row>
    <row r="717" customHeight="1" spans="1:24">
      <c r="A717" t="s">
        <v>780</v>
      </c>
      <c r="B717">
        <v>29</v>
      </c>
      <c r="C717">
        <v>64</v>
      </c>
      <c r="D717" t="s">
        <v>72</v>
      </c>
      <c r="E717" t="s">
        <v>54</v>
      </c>
      <c r="F717" t="s">
        <v>55</v>
      </c>
      <c r="G717">
        <v>245</v>
      </c>
      <c r="H717">
        <v>19.37</v>
      </c>
      <c r="I717">
        <v>122</v>
      </c>
      <c r="J717">
        <v>1056.38</v>
      </c>
      <c r="K717">
        <v>0</v>
      </c>
      <c r="L717" t="s">
        <v>62</v>
      </c>
      <c r="M717">
        <v>0</v>
      </c>
      <c r="N717">
        <v>0</v>
      </c>
      <c r="O717">
        <v>19.2</v>
      </c>
      <c r="P717">
        <v>2</v>
      </c>
      <c r="Q717">
        <v>0</v>
      </c>
      <c r="R717">
        <v>0</v>
      </c>
      <c r="S717" t="s">
        <v>63</v>
      </c>
      <c r="T717">
        <v>0</v>
      </c>
      <c r="U717">
        <v>0</v>
      </c>
      <c r="V717">
        <v>0</v>
      </c>
      <c r="W717">
        <v>1</v>
      </c>
      <c r="X717" t="s">
        <v>55</v>
      </c>
    </row>
    <row r="718" customHeight="1" spans="1:24">
      <c r="A718" t="s">
        <v>781</v>
      </c>
      <c r="B718">
        <v>73</v>
      </c>
      <c r="C718">
        <v>36</v>
      </c>
      <c r="D718" t="s">
        <v>72</v>
      </c>
      <c r="E718" t="s">
        <v>65</v>
      </c>
      <c r="F718" t="s">
        <v>58</v>
      </c>
      <c r="G718">
        <v>548</v>
      </c>
      <c r="H718">
        <v>5.49</v>
      </c>
      <c r="I718">
        <v>106</v>
      </c>
      <c r="J718">
        <v>832.41</v>
      </c>
      <c r="K718">
        <v>0</v>
      </c>
      <c r="L718" t="s">
        <v>62</v>
      </c>
      <c r="M718">
        <v>0</v>
      </c>
      <c r="N718">
        <v>0</v>
      </c>
      <c r="O718">
        <v>12.8</v>
      </c>
      <c r="P718">
        <v>2</v>
      </c>
      <c r="Q718">
        <v>1</v>
      </c>
      <c r="R718">
        <v>0</v>
      </c>
      <c r="S718" t="s">
        <v>63</v>
      </c>
      <c r="T718">
        <v>0</v>
      </c>
      <c r="U718">
        <v>0</v>
      </c>
      <c r="V718">
        <v>0</v>
      </c>
      <c r="W718">
        <v>0</v>
      </c>
      <c r="X718" t="s">
        <v>58</v>
      </c>
    </row>
    <row r="719" customHeight="1" spans="1:24">
      <c r="A719" t="s">
        <v>782</v>
      </c>
      <c r="B719">
        <v>42</v>
      </c>
      <c r="C719">
        <v>3</v>
      </c>
      <c r="D719" t="s">
        <v>53</v>
      </c>
      <c r="E719" t="s">
        <v>54</v>
      </c>
      <c r="F719" t="s">
        <v>58</v>
      </c>
      <c r="G719">
        <v>443</v>
      </c>
      <c r="H719">
        <v>17.1</v>
      </c>
      <c r="I719">
        <v>80</v>
      </c>
      <c r="J719">
        <v>446.39</v>
      </c>
      <c r="K719">
        <v>0</v>
      </c>
      <c r="L719" t="s">
        <v>62</v>
      </c>
      <c r="M719">
        <v>0</v>
      </c>
      <c r="N719">
        <v>1</v>
      </c>
      <c r="O719">
        <v>15</v>
      </c>
      <c r="P719">
        <v>0</v>
      </c>
      <c r="Q719">
        <v>0</v>
      </c>
      <c r="R719">
        <v>0</v>
      </c>
      <c r="S719" t="s">
        <v>66</v>
      </c>
      <c r="T719">
        <v>0</v>
      </c>
      <c r="U719">
        <v>0</v>
      </c>
      <c r="V719">
        <v>0</v>
      </c>
      <c r="W719">
        <v>0</v>
      </c>
      <c r="X719" t="s">
        <v>58</v>
      </c>
    </row>
    <row r="720" customHeight="1" spans="1:24">
      <c r="A720" t="s">
        <v>783</v>
      </c>
      <c r="B720">
        <v>18</v>
      </c>
      <c r="C720">
        <v>37</v>
      </c>
      <c r="D720" t="s">
        <v>72</v>
      </c>
      <c r="E720" t="s">
        <v>69</v>
      </c>
      <c r="F720" t="s">
        <v>58</v>
      </c>
      <c r="G720">
        <v>305</v>
      </c>
      <c r="H720">
        <v>20.21</v>
      </c>
      <c r="I720">
        <v>231</v>
      </c>
      <c r="J720">
        <v>927.97</v>
      </c>
      <c r="K720">
        <v>1</v>
      </c>
      <c r="L720" t="s">
        <v>56</v>
      </c>
      <c r="M720">
        <v>0</v>
      </c>
      <c r="N720">
        <v>0</v>
      </c>
      <c r="O720">
        <v>19.1</v>
      </c>
      <c r="P720">
        <v>0</v>
      </c>
      <c r="Q720">
        <v>0</v>
      </c>
      <c r="R720">
        <v>0</v>
      </c>
      <c r="S720" t="s">
        <v>63</v>
      </c>
      <c r="T720">
        <v>0</v>
      </c>
      <c r="U720">
        <v>1</v>
      </c>
      <c r="V720">
        <v>0</v>
      </c>
      <c r="W720">
        <v>0</v>
      </c>
      <c r="X720" t="s">
        <v>58</v>
      </c>
    </row>
    <row r="721" customHeight="1" spans="1:24">
      <c r="A721" t="s">
        <v>784</v>
      </c>
      <c r="B721">
        <v>19</v>
      </c>
      <c r="C721">
        <v>65</v>
      </c>
      <c r="D721" t="s">
        <v>53</v>
      </c>
      <c r="E721" t="s">
        <v>76</v>
      </c>
      <c r="F721" t="s">
        <v>55</v>
      </c>
      <c r="G721">
        <v>411</v>
      </c>
      <c r="H721">
        <v>13.84</v>
      </c>
      <c r="I721">
        <v>39</v>
      </c>
      <c r="J721">
        <v>488.84</v>
      </c>
      <c r="K721">
        <v>0</v>
      </c>
      <c r="L721" t="s">
        <v>62</v>
      </c>
      <c r="M721">
        <v>0</v>
      </c>
      <c r="N721">
        <v>0</v>
      </c>
      <c r="O721">
        <v>35.9</v>
      </c>
      <c r="P721">
        <v>3</v>
      </c>
      <c r="Q721">
        <v>0</v>
      </c>
      <c r="R721">
        <v>0</v>
      </c>
      <c r="S721" t="s">
        <v>63</v>
      </c>
      <c r="T721">
        <v>0</v>
      </c>
      <c r="U721">
        <v>0</v>
      </c>
      <c r="V721">
        <v>0</v>
      </c>
      <c r="W721">
        <v>1</v>
      </c>
      <c r="X721" t="s">
        <v>55</v>
      </c>
    </row>
    <row r="722" customHeight="1" spans="1:24">
      <c r="A722" t="s">
        <v>785</v>
      </c>
      <c r="B722">
        <v>70</v>
      </c>
      <c r="C722">
        <v>72</v>
      </c>
      <c r="D722" t="s">
        <v>60</v>
      </c>
      <c r="E722" t="s">
        <v>69</v>
      </c>
      <c r="F722" t="s">
        <v>58</v>
      </c>
      <c r="G722">
        <v>328</v>
      </c>
      <c r="H722">
        <v>21.38</v>
      </c>
      <c r="I722">
        <v>169</v>
      </c>
      <c r="J722">
        <v>615.45</v>
      </c>
      <c r="K722">
        <v>0</v>
      </c>
      <c r="L722" t="s">
        <v>62</v>
      </c>
      <c r="M722">
        <v>1</v>
      </c>
      <c r="N722">
        <v>1</v>
      </c>
      <c r="O722">
        <v>37.1</v>
      </c>
      <c r="P722">
        <v>2</v>
      </c>
      <c r="Q722">
        <v>2</v>
      </c>
      <c r="R722">
        <v>2</v>
      </c>
      <c r="S722" t="s">
        <v>63</v>
      </c>
      <c r="T722">
        <v>1</v>
      </c>
      <c r="U722">
        <v>0</v>
      </c>
      <c r="V722">
        <v>0</v>
      </c>
      <c r="W722">
        <v>0</v>
      </c>
      <c r="X722" t="s">
        <v>58</v>
      </c>
    </row>
    <row r="723" customHeight="1" spans="1:24">
      <c r="A723" t="s">
        <v>786</v>
      </c>
      <c r="B723">
        <v>27</v>
      </c>
      <c r="C723">
        <v>29</v>
      </c>
      <c r="D723" t="s">
        <v>60</v>
      </c>
      <c r="E723" t="s">
        <v>54</v>
      </c>
      <c r="F723" t="s">
        <v>58</v>
      </c>
      <c r="G723">
        <v>642</v>
      </c>
      <c r="H723">
        <v>18.21</v>
      </c>
      <c r="I723">
        <v>273</v>
      </c>
      <c r="J723">
        <v>727.44</v>
      </c>
      <c r="K723">
        <v>0</v>
      </c>
      <c r="L723" t="s">
        <v>62</v>
      </c>
      <c r="M723">
        <v>0</v>
      </c>
      <c r="N723">
        <v>0</v>
      </c>
      <c r="O723">
        <v>12.9</v>
      </c>
      <c r="P723">
        <v>1</v>
      </c>
      <c r="Q723">
        <v>0</v>
      </c>
      <c r="R723">
        <v>0</v>
      </c>
      <c r="S723" t="s">
        <v>63</v>
      </c>
      <c r="T723">
        <v>0</v>
      </c>
      <c r="U723">
        <v>0</v>
      </c>
      <c r="V723">
        <v>0</v>
      </c>
      <c r="W723">
        <v>0</v>
      </c>
      <c r="X723" t="s">
        <v>58</v>
      </c>
    </row>
    <row r="724" customHeight="1" spans="1:24">
      <c r="A724" t="s">
        <v>787</v>
      </c>
      <c r="B724">
        <v>18</v>
      </c>
      <c r="C724">
        <v>11</v>
      </c>
      <c r="D724" t="s">
        <v>72</v>
      </c>
      <c r="E724" t="s">
        <v>65</v>
      </c>
      <c r="F724" t="s">
        <v>58</v>
      </c>
      <c r="G724">
        <v>482</v>
      </c>
      <c r="H724">
        <v>25.74</v>
      </c>
      <c r="I724">
        <v>195</v>
      </c>
      <c r="J724">
        <v>1045.21</v>
      </c>
      <c r="K724">
        <v>0</v>
      </c>
      <c r="L724" t="s">
        <v>62</v>
      </c>
      <c r="M724">
        <v>0</v>
      </c>
      <c r="N724">
        <v>0</v>
      </c>
      <c r="O724">
        <v>17.8</v>
      </c>
      <c r="P724">
        <v>2</v>
      </c>
      <c r="Q724">
        <v>0</v>
      </c>
      <c r="R724">
        <v>0</v>
      </c>
      <c r="S724" t="s">
        <v>57</v>
      </c>
      <c r="T724">
        <v>0</v>
      </c>
      <c r="U724">
        <v>0</v>
      </c>
      <c r="V724">
        <v>0</v>
      </c>
      <c r="W724">
        <v>0</v>
      </c>
      <c r="X724" t="s">
        <v>58</v>
      </c>
    </row>
    <row r="725" customHeight="1" spans="1:24">
      <c r="A725" t="s">
        <v>788</v>
      </c>
      <c r="B725">
        <v>30</v>
      </c>
      <c r="C725">
        <v>42</v>
      </c>
      <c r="D725" t="s">
        <v>53</v>
      </c>
      <c r="E725" t="s">
        <v>76</v>
      </c>
      <c r="F725" t="s">
        <v>58</v>
      </c>
      <c r="G725">
        <v>500</v>
      </c>
      <c r="H725">
        <v>24.63</v>
      </c>
      <c r="I725">
        <v>118</v>
      </c>
      <c r="J725">
        <v>388.68</v>
      </c>
      <c r="K725">
        <v>0</v>
      </c>
      <c r="L725" t="s">
        <v>62</v>
      </c>
      <c r="M725">
        <v>1</v>
      </c>
      <c r="N725">
        <v>2</v>
      </c>
      <c r="O725">
        <v>18.1</v>
      </c>
      <c r="P725">
        <v>1</v>
      </c>
      <c r="Q725">
        <v>1</v>
      </c>
      <c r="R725">
        <v>2</v>
      </c>
      <c r="S725" t="s">
        <v>63</v>
      </c>
      <c r="T725">
        <v>1</v>
      </c>
      <c r="U725">
        <v>0</v>
      </c>
      <c r="V725">
        <v>0</v>
      </c>
      <c r="W725">
        <v>0</v>
      </c>
      <c r="X725" t="s">
        <v>58</v>
      </c>
    </row>
    <row r="726" customHeight="1" spans="1:24">
      <c r="A726" t="s">
        <v>789</v>
      </c>
      <c r="B726">
        <v>30</v>
      </c>
      <c r="C726">
        <v>60</v>
      </c>
      <c r="D726" t="s">
        <v>53</v>
      </c>
      <c r="E726" t="s">
        <v>61</v>
      </c>
      <c r="F726" t="s">
        <v>58</v>
      </c>
      <c r="G726">
        <v>20</v>
      </c>
      <c r="H726">
        <v>19.67</v>
      </c>
      <c r="I726">
        <v>41</v>
      </c>
      <c r="J726">
        <v>406.62</v>
      </c>
      <c r="K726">
        <v>0</v>
      </c>
      <c r="L726" t="s">
        <v>62</v>
      </c>
      <c r="M726">
        <v>0</v>
      </c>
      <c r="N726">
        <v>0</v>
      </c>
      <c r="O726">
        <v>33.7</v>
      </c>
      <c r="P726">
        <v>0</v>
      </c>
      <c r="Q726">
        <v>0</v>
      </c>
      <c r="R726">
        <v>0</v>
      </c>
      <c r="S726" t="s">
        <v>63</v>
      </c>
      <c r="T726">
        <v>0</v>
      </c>
      <c r="U726">
        <v>0</v>
      </c>
      <c r="V726">
        <v>0</v>
      </c>
      <c r="W726">
        <v>0</v>
      </c>
      <c r="X726" t="s">
        <v>58</v>
      </c>
    </row>
    <row r="727" customHeight="1" spans="1:24">
      <c r="A727" t="s">
        <v>790</v>
      </c>
      <c r="B727">
        <v>22</v>
      </c>
      <c r="C727">
        <v>69</v>
      </c>
      <c r="D727" t="s">
        <v>60</v>
      </c>
      <c r="E727" t="s">
        <v>69</v>
      </c>
      <c r="F727" t="s">
        <v>58</v>
      </c>
      <c r="G727">
        <v>390</v>
      </c>
      <c r="H727">
        <v>4.33</v>
      </c>
      <c r="I727">
        <v>25</v>
      </c>
      <c r="J727">
        <v>740.59</v>
      </c>
      <c r="K727">
        <v>0</v>
      </c>
      <c r="L727" t="s">
        <v>62</v>
      </c>
      <c r="M727">
        <v>0</v>
      </c>
      <c r="N727">
        <v>0</v>
      </c>
      <c r="O727">
        <v>25.7</v>
      </c>
      <c r="P727">
        <v>0</v>
      </c>
      <c r="Q727">
        <v>2</v>
      </c>
      <c r="R727">
        <v>0</v>
      </c>
      <c r="S727" t="s">
        <v>63</v>
      </c>
      <c r="T727">
        <v>0</v>
      </c>
      <c r="U727">
        <v>0</v>
      </c>
      <c r="V727">
        <v>1</v>
      </c>
      <c r="W727">
        <v>0</v>
      </c>
      <c r="X727" t="s">
        <v>58</v>
      </c>
    </row>
    <row r="728" customHeight="1" spans="1:24">
      <c r="A728" t="s">
        <v>791</v>
      </c>
      <c r="B728">
        <v>75</v>
      </c>
      <c r="C728">
        <v>4</v>
      </c>
      <c r="D728" t="s">
        <v>60</v>
      </c>
      <c r="E728" t="s">
        <v>65</v>
      </c>
      <c r="F728" t="s">
        <v>58</v>
      </c>
      <c r="G728">
        <v>712</v>
      </c>
      <c r="H728">
        <v>35.91</v>
      </c>
      <c r="I728">
        <v>91</v>
      </c>
      <c r="J728">
        <v>800.37</v>
      </c>
      <c r="K728">
        <v>0</v>
      </c>
      <c r="L728" t="s">
        <v>62</v>
      </c>
      <c r="M728">
        <v>1</v>
      </c>
      <c r="N728">
        <v>1</v>
      </c>
      <c r="O728">
        <v>25.1</v>
      </c>
      <c r="P728">
        <v>1</v>
      </c>
      <c r="Q728">
        <v>1</v>
      </c>
      <c r="R728">
        <v>0</v>
      </c>
      <c r="S728" t="s">
        <v>66</v>
      </c>
      <c r="T728">
        <v>1</v>
      </c>
      <c r="U728">
        <v>0</v>
      </c>
      <c r="V728">
        <v>0</v>
      </c>
      <c r="W728">
        <v>0</v>
      </c>
      <c r="X728" t="s">
        <v>58</v>
      </c>
    </row>
    <row r="729" customHeight="1" spans="1:24">
      <c r="A729" t="s">
        <v>792</v>
      </c>
      <c r="B729">
        <v>21</v>
      </c>
      <c r="C729">
        <v>21</v>
      </c>
      <c r="D729" t="s">
        <v>60</v>
      </c>
      <c r="E729" t="s">
        <v>69</v>
      </c>
      <c r="F729" t="s">
        <v>58</v>
      </c>
      <c r="G729">
        <v>599</v>
      </c>
      <c r="H729">
        <v>16.58</v>
      </c>
      <c r="I729">
        <v>72</v>
      </c>
      <c r="J729">
        <v>856.15</v>
      </c>
      <c r="K729">
        <v>1</v>
      </c>
      <c r="L729" t="s">
        <v>56</v>
      </c>
      <c r="M729">
        <v>2</v>
      </c>
      <c r="N729">
        <v>2</v>
      </c>
      <c r="O729">
        <v>30.4</v>
      </c>
      <c r="P729">
        <v>0</v>
      </c>
      <c r="Q729">
        <v>2</v>
      </c>
      <c r="R729">
        <v>0</v>
      </c>
      <c r="S729" t="s">
        <v>57</v>
      </c>
      <c r="T729">
        <v>1</v>
      </c>
      <c r="U729">
        <v>1</v>
      </c>
      <c r="V729">
        <v>0</v>
      </c>
      <c r="W729">
        <v>0</v>
      </c>
      <c r="X729" t="s">
        <v>58</v>
      </c>
    </row>
    <row r="730" customHeight="1" spans="1:24">
      <c r="A730" t="s">
        <v>793</v>
      </c>
      <c r="B730">
        <v>60</v>
      </c>
      <c r="C730">
        <v>35</v>
      </c>
      <c r="D730" t="s">
        <v>53</v>
      </c>
      <c r="E730" t="s">
        <v>69</v>
      </c>
      <c r="F730" t="s">
        <v>58</v>
      </c>
      <c r="G730">
        <v>123</v>
      </c>
      <c r="H730">
        <v>17.19</v>
      </c>
      <c r="I730">
        <v>70</v>
      </c>
      <c r="J730">
        <v>498.2</v>
      </c>
      <c r="K730">
        <v>0</v>
      </c>
      <c r="L730" t="s">
        <v>62</v>
      </c>
      <c r="M730">
        <v>1</v>
      </c>
      <c r="N730">
        <v>1</v>
      </c>
      <c r="O730">
        <v>16.8</v>
      </c>
      <c r="P730">
        <v>1</v>
      </c>
      <c r="Q730">
        <v>0</v>
      </c>
      <c r="R730">
        <v>0</v>
      </c>
      <c r="S730" t="s">
        <v>63</v>
      </c>
      <c r="T730">
        <v>1</v>
      </c>
      <c r="U730">
        <v>0</v>
      </c>
      <c r="V730">
        <v>0</v>
      </c>
      <c r="W730">
        <v>0</v>
      </c>
      <c r="X730" t="s">
        <v>58</v>
      </c>
    </row>
    <row r="731" customHeight="1" spans="1:24">
      <c r="A731" t="s">
        <v>794</v>
      </c>
      <c r="B731">
        <v>66</v>
      </c>
      <c r="C731">
        <v>8</v>
      </c>
      <c r="D731" t="s">
        <v>53</v>
      </c>
      <c r="E731" t="s">
        <v>61</v>
      </c>
      <c r="F731" t="s">
        <v>58</v>
      </c>
      <c r="G731">
        <v>353</v>
      </c>
      <c r="H731">
        <v>17.41</v>
      </c>
      <c r="I731">
        <v>97</v>
      </c>
      <c r="J731">
        <v>518.37</v>
      </c>
      <c r="K731">
        <v>0</v>
      </c>
      <c r="L731" t="s">
        <v>62</v>
      </c>
      <c r="M731">
        <v>0</v>
      </c>
      <c r="N731">
        <v>0</v>
      </c>
      <c r="O731">
        <v>40.4</v>
      </c>
      <c r="P731">
        <v>0</v>
      </c>
      <c r="Q731">
        <v>0</v>
      </c>
      <c r="R731">
        <v>1</v>
      </c>
      <c r="S731" t="s">
        <v>57</v>
      </c>
      <c r="T731">
        <v>0</v>
      </c>
      <c r="U731">
        <v>0</v>
      </c>
      <c r="V731">
        <v>1</v>
      </c>
      <c r="W731">
        <v>0</v>
      </c>
      <c r="X731" t="s">
        <v>58</v>
      </c>
    </row>
    <row r="732" customHeight="1" spans="1:24">
      <c r="A732" t="s">
        <v>795</v>
      </c>
      <c r="B732">
        <v>55</v>
      </c>
      <c r="C732">
        <v>64</v>
      </c>
      <c r="D732" t="s">
        <v>72</v>
      </c>
      <c r="E732" t="s">
        <v>69</v>
      </c>
      <c r="F732" t="s">
        <v>55</v>
      </c>
      <c r="G732">
        <v>220</v>
      </c>
      <c r="H732">
        <v>13.12</v>
      </c>
      <c r="I732">
        <v>113</v>
      </c>
      <c r="J732">
        <v>1006.53</v>
      </c>
      <c r="K732">
        <v>2</v>
      </c>
      <c r="L732" t="s">
        <v>56</v>
      </c>
      <c r="M732">
        <v>0</v>
      </c>
      <c r="N732">
        <v>0</v>
      </c>
      <c r="O732">
        <v>24</v>
      </c>
      <c r="P732">
        <v>0</v>
      </c>
      <c r="Q732">
        <v>3</v>
      </c>
      <c r="R732">
        <v>0</v>
      </c>
      <c r="S732" t="s">
        <v>63</v>
      </c>
      <c r="T732">
        <v>0</v>
      </c>
      <c r="U732">
        <v>1</v>
      </c>
      <c r="V732">
        <v>0</v>
      </c>
      <c r="W732">
        <v>1</v>
      </c>
      <c r="X732" t="s">
        <v>55</v>
      </c>
    </row>
    <row r="733" customHeight="1" spans="1:24">
      <c r="A733" t="s">
        <v>796</v>
      </c>
      <c r="B733">
        <v>25</v>
      </c>
      <c r="C733">
        <v>9</v>
      </c>
      <c r="D733" t="s">
        <v>53</v>
      </c>
      <c r="E733" t="s">
        <v>76</v>
      </c>
      <c r="F733" t="s">
        <v>58</v>
      </c>
      <c r="G733">
        <v>657</v>
      </c>
      <c r="H733">
        <v>33.44</v>
      </c>
      <c r="I733">
        <v>154</v>
      </c>
      <c r="J733">
        <v>504.38</v>
      </c>
      <c r="K733">
        <v>0</v>
      </c>
      <c r="L733" t="s">
        <v>62</v>
      </c>
      <c r="M733">
        <v>0</v>
      </c>
      <c r="N733">
        <v>1</v>
      </c>
      <c r="O733">
        <v>13.7</v>
      </c>
      <c r="P733">
        <v>0</v>
      </c>
      <c r="Q733">
        <v>1</v>
      </c>
      <c r="R733">
        <v>0</v>
      </c>
      <c r="S733" t="s">
        <v>57</v>
      </c>
      <c r="T733">
        <v>0</v>
      </c>
      <c r="U733">
        <v>0</v>
      </c>
      <c r="V733">
        <v>0</v>
      </c>
      <c r="W733">
        <v>0</v>
      </c>
      <c r="X733" t="s">
        <v>58</v>
      </c>
    </row>
    <row r="734" customHeight="1" spans="1:24">
      <c r="A734" t="s">
        <v>797</v>
      </c>
      <c r="B734">
        <v>60</v>
      </c>
      <c r="C734">
        <v>48</v>
      </c>
      <c r="D734" t="s">
        <v>60</v>
      </c>
      <c r="E734" t="s">
        <v>76</v>
      </c>
      <c r="F734" t="s">
        <v>58</v>
      </c>
      <c r="G734">
        <v>437</v>
      </c>
      <c r="H734">
        <v>31.86</v>
      </c>
      <c r="I734">
        <v>33</v>
      </c>
      <c r="J734">
        <v>698.91</v>
      </c>
      <c r="K734">
        <v>1</v>
      </c>
      <c r="L734" t="s">
        <v>56</v>
      </c>
      <c r="M734">
        <v>0</v>
      </c>
      <c r="N734">
        <v>0</v>
      </c>
      <c r="O734">
        <v>21.2</v>
      </c>
      <c r="P734">
        <v>2</v>
      </c>
      <c r="Q734">
        <v>0</v>
      </c>
      <c r="R734">
        <v>1</v>
      </c>
      <c r="S734" t="s">
        <v>63</v>
      </c>
      <c r="T734">
        <v>0</v>
      </c>
      <c r="U734">
        <v>1</v>
      </c>
      <c r="V734">
        <v>0</v>
      </c>
      <c r="W734">
        <v>0</v>
      </c>
      <c r="X734" t="s">
        <v>58</v>
      </c>
    </row>
    <row r="735" customHeight="1" spans="1:24">
      <c r="A735" t="s">
        <v>798</v>
      </c>
      <c r="B735">
        <v>37</v>
      </c>
      <c r="C735">
        <v>67</v>
      </c>
      <c r="D735" t="s">
        <v>72</v>
      </c>
      <c r="E735" t="s">
        <v>61</v>
      </c>
      <c r="F735" t="s">
        <v>58</v>
      </c>
      <c r="G735">
        <v>285</v>
      </c>
      <c r="H735">
        <v>22.44</v>
      </c>
      <c r="I735">
        <v>72</v>
      </c>
      <c r="J735">
        <v>1467.34</v>
      </c>
      <c r="K735">
        <v>2</v>
      </c>
      <c r="L735" t="s">
        <v>56</v>
      </c>
      <c r="M735">
        <v>0</v>
      </c>
      <c r="N735">
        <v>0</v>
      </c>
      <c r="O735">
        <v>23.7</v>
      </c>
      <c r="P735">
        <v>1</v>
      </c>
      <c r="Q735">
        <v>1</v>
      </c>
      <c r="R735">
        <v>0</v>
      </c>
      <c r="S735" t="s">
        <v>63</v>
      </c>
      <c r="T735">
        <v>0</v>
      </c>
      <c r="U735">
        <v>1</v>
      </c>
      <c r="V735">
        <v>0</v>
      </c>
      <c r="W735">
        <v>0</v>
      </c>
      <c r="X735" t="s">
        <v>58</v>
      </c>
    </row>
    <row r="736" customHeight="1" spans="1:24">
      <c r="A736" t="s">
        <v>799</v>
      </c>
      <c r="B736">
        <v>41</v>
      </c>
      <c r="C736">
        <v>50</v>
      </c>
      <c r="D736" t="s">
        <v>53</v>
      </c>
      <c r="E736" t="s">
        <v>69</v>
      </c>
      <c r="F736" t="s">
        <v>58</v>
      </c>
      <c r="G736">
        <v>405</v>
      </c>
      <c r="H736">
        <v>16.92</v>
      </c>
      <c r="I736">
        <v>109</v>
      </c>
      <c r="J736">
        <v>462.4</v>
      </c>
      <c r="K736">
        <v>0</v>
      </c>
      <c r="L736" t="s">
        <v>62</v>
      </c>
      <c r="M736">
        <v>1</v>
      </c>
      <c r="N736">
        <v>2</v>
      </c>
      <c r="O736">
        <v>18.9</v>
      </c>
      <c r="P736">
        <v>0</v>
      </c>
      <c r="Q736">
        <v>1</v>
      </c>
      <c r="R736">
        <v>1</v>
      </c>
      <c r="S736" t="s">
        <v>63</v>
      </c>
      <c r="T736">
        <v>1</v>
      </c>
      <c r="U736">
        <v>0</v>
      </c>
      <c r="V736">
        <v>0</v>
      </c>
      <c r="W736">
        <v>0</v>
      </c>
      <c r="X736" t="s">
        <v>58</v>
      </c>
    </row>
    <row r="737" customHeight="1" spans="1:24">
      <c r="A737" t="s">
        <v>800</v>
      </c>
      <c r="B737">
        <v>32</v>
      </c>
      <c r="C737">
        <v>55</v>
      </c>
      <c r="D737" t="s">
        <v>60</v>
      </c>
      <c r="E737" t="s">
        <v>69</v>
      </c>
      <c r="F737" t="s">
        <v>58</v>
      </c>
      <c r="G737">
        <v>20</v>
      </c>
      <c r="H737">
        <v>24.19</v>
      </c>
      <c r="I737">
        <v>106</v>
      </c>
      <c r="J737">
        <v>540.01</v>
      </c>
      <c r="K737">
        <v>0</v>
      </c>
      <c r="L737" t="s">
        <v>62</v>
      </c>
      <c r="M737">
        <v>1</v>
      </c>
      <c r="N737">
        <v>2</v>
      </c>
      <c r="O737">
        <v>35.4</v>
      </c>
      <c r="P737">
        <v>1</v>
      </c>
      <c r="Q737">
        <v>0</v>
      </c>
      <c r="R737">
        <v>0</v>
      </c>
      <c r="S737" t="s">
        <v>63</v>
      </c>
      <c r="T737">
        <v>1</v>
      </c>
      <c r="U737">
        <v>0</v>
      </c>
      <c r="V737">
        <v>0</v>
      </c>
      <c r="W737">
        <v>0</v>
      </c>
      <c r="X737" t="s">
        <v>58</v>
      </c>
    </row>
    <row r="738" customHeight="1" spans="1:24">
      <c r="A738" t="s">
        <v>801</v>
      </c>
      <c r="B738">
        <v>63</v>
      </c>
      <c r="C738">
        <v>19</v>
      </c>
      <c r="D738" t="s">
        <v>53</v>
      </c>
      <c r="E738" t="s">
        <v>61</v>
      </c>
      <c r="F738" t="s">
        <v>58</v>
      </c>
      <c r="G738">
        <v>237</v>
      </c>
      <c r="H738">
        <v>18.74</v>
      </c>
      <c r="I738">
        <v>249</v>
      </c>
      <c r="J738">
        <v>476.6</v>
      </c>
      <c r="K738">
        <v>0</v>
      </c>
      <c r="L738" t="s">
        <v>62</v>
      </c>
      <c r="M738">
        <v>0</v>
      </c>
      <c r="N738">
        <v>0</v>
      </c>
      <c r="O738">
        <v>16.5</v>
      </c>
      <c r="P738">
        <v>1</v>
      </c>
      <c r="Q738">
        <v>0</v>
      </c>
      <c r="R738">
        <v>0</v>
      </c>
      <c r="S738" t="s">
        <v>57</v>
      </c>
      <c r="T738">
        <v>0</v>
      </c>
      <c r="U738">
        <v>0</v>
      </c>
      <c r="V738">
        <v>0</v>
      </c>
      <c r="W738">
        <v>0</v>
      </c>
      <c r="X738" t="s">
        <v>58</v>
      </c>
    </row>
    <row r="739" customHeight="1" spans="1:24">
      <c r="A739" t="s">
        <v>802</v>
      </c>
      <c r="B739">
        <v>51</v>
      </c>
      <c r="C739">
        <v>60</v>
      </c>
      <c r="D739" t="s">
        <v>72</v>
      </c>
      <c r="E739" t="s">
        <v>69</v>
      </c>
      <c r="F739" t="s">
        <v>55</v>
      </c>
      <c r="G739">
        <v>405</v>
      </c>
      <c r="H739">
        <v>16.1</v>
      </c>
      <c r="I739">
        <v>136</v>
      </c>
      <c r="J739">
        <v>1049.64</v>
      </c>
      <c r="K739">
        <v>1</v>
      </c>
      <c r="L739" t="s">
        <v>56</v>
      </c>
      <c r="M739">
        <v>0</v>
      </c>
      <c r="N739">
        <v>1</v>
      </c>
      <c r="O739">
        <v>14.8</v>
      </c>
      <c r="P739">
        <v>0</v>
      </c>
      <c r="Q739">
        <v>0</v>
      </c>
      <c r="R739">
        <v>0</v>
      </c>
      <c r="S739" t="s">
        <v>63</v>
      </c>
      <c r="T739">
        <v>0</v>
      </c>
      <c r="U739">
        <v>1</v>
      </c>
      <c r="V739">
        <v>0</v>
      </c>
      <c r="W739">
        <v>1</v>
      </c>
      <c r="X739" t="s">
        <v>58</v>
      </c>
    </row>
    <row r="740" customHeight="1" spans="1:24">
      <c r="A740" t="s">
        <v>803</v>
      </c>
      <c r="B740">
        <v>26</v>
      </c>
      <c r="C740">
        <v>31</v>
      </c>
      <c r="D740" t="s">
        <v>60</v>
      </c>
      <c r="E740" t="s">
        <v>54</v>
      </c>
      <c r="F740" t="s">
        <v>55</v>
      </c>
      <c r="G740">
        <v>527</v>
      </c>
      <c r="H740">
        <v>21.38</v>
      </c>
      <c r="I740">
        <v>7</v>
      </c>
      <c r="J740">
        <v>757.92</v>
      </c>
      <c r="K740">
        <v>2</v>
      </c>
      <c r="L740" t="s">
        <v>56</v>
      </c>
      <c r="M740">
        <v>1</v>
      </c>
      <c r="N740">
        <v>2</v>
      </c>
      <c r="O740">
        <v>31.9</v>
      </c>
      <c r="P740">
        <v>3</v>
      </c>
      <c r="Q740">
        <v>1</v>
      </c>
      <c r="R740">
        <v>1</v>
      </c>
      <c r="S740" t="s">
        <v>63</v>
      </c>
      <c r="T740">
        <v>1</v>
      </c>
      <c r="U740">
        <v>1</v>
      </c>
      <c r="V740">
        <v>0</v>
      </c>
      <c r="W740">
        <v>1</v>
      </c>
      <c r="X740" t="s">
        <v>55</v>
      </c>
    </row>
    <row r="741" customHeight="1" spans="1:24">
      <c r="A741" t="s">
        <v>804</v>
      </c>
      <c r="B741">
        <v>41</v>
      </c>
      <c r="C741">
        <v>5</v>
      </c>
      <c r="D741" t="s">
        <v>72</v>
      </c>
      <c r="E741" t="s">
        <v>61</v>
      </c>
      <c r="F741" t="s">
        <v>55</v>
      </c>
      <c r="G741">
        <v>109</v>
      </c>
      <c r="H741">
        <v>13.59</v>
      </c>
      <c r="I741">
        <v>149</v>
      </c>
      <c r="J741">
        <v>1140.95</v>
      </c>
      <c r="K741">
        <v>0</v>
      </c>
      <c r="L741" t="s">
        <v>62</v>
      </c>
      <c r="M741">
        <v>1</v>
      </c>
      <c r="N741">
        <v>1</v>
      </c>
      <c r="O741">
        <v>13.5</v>
      </c>
      <c r="P741">
        <v>2</v>
      </c>
      <c r="Q741">
        <v>0</v>
      </c>
      <c r="R741">
        <v>0</v>
      </c>
      <c r="S741" t="s">
        <v>66</v>
      </c>
      <c r="T741">
        <v>1</v>
      </c>
      <c r="U741">
        <v>0</v>
      </c>
      <c r="V741">
        <v>0</v>
      </c>
      <c r="W741">
        <v>1</v>
      </c>
      <c r="X741" t="s">
        <v>55</v>
      </c>
    </row>
    <row r="742" customHeight="1" spans="1:24">
      <c r="A742" t="s">
        <v>805</v>
      </c>
      <c r="B742">
        <v>64</v>
      </c>
      <c r="C742">
        <v>27</v>
      </c>
      <c r="D742" t="s">
        <v>53</v>
      </c>
      <c r="E742" t="s">
        <v>61</v>
      </c>
      <c r="F742" t="s">
        <v>58</v>
      </c>
      <c r="G742">
        <v>343</v>
      </c>
      <c r="H742">
        <v>17.41</v>
      </c>
      <c r="I742">
        <v>158</v>
      </c>
      <c r="J742">
        <v>489.54</v>
      </c>
      <c r="K742">
        <v>0</v>
      </c>
      <c r="L742" t="s">
        <v>62</v>
      </c>
      <c r="M742">
        <v>0</v>
      </c>
      <c r="N742">
        <v>0</v>
      </c>
      <c r="O742">
        <v>33.9</v>
      </c>
      <c r="P742">
        <v>2</v>
      </c>
      <c r="Q742">
        <v>0</v>
      </c>
      <c r="R742">
        <v>0</v>
      </c>
      <c r="S742" t="s">
        <v>63</v>
      </c>
      <c r="T742">
        <v>0</v>
      </c>
      <c r="U742">
        <v>0</v>
      </c>
      <c r="V742">
        <v>1</v>
      </c>
      <c r="W742">
        <v>0</v>
      </c>
      <c r="X742" t="s">
        <v>58</v>
      </c>
    </row>
    <row r="743" customHeight="1" spans="1:24">
      <c r="A743" t="s">
        <v>806</v>
      </c>
      <c r="B743">
        <v>72</v>
      </c>
      <c r="C743">
        <v>26</v>
      </c>
      <c r="D743" t="s">
        <v>60</v>
      </c>
      <c r="E743" t="s">
        <v>61</v>
      </c>
      <c r="F743" t="s">
        <v>58</v>
      </c>
      <c r="G743">
        <v>551</v>
      </c>
      <c r="H743">
        <v>20.04</v>
      </c>
      <c r="I743">
        <v>111</v>
      </c>
      <c r="J743">
        <v>747.11</v>
      </c>
      <c r="K743">
        <v>1</v>
      </c>
      <c r="L743" t="s">
        <v>56</v>
      </c>
      <c r="M743">
        <v>1</v>
      </c>
      <c r="N743">
        <v>2</v>
      </c>
      <c r="O743">
        <v>28.2</v>
      </c>
      <c r="P743">
        <v>1</v>
      </c>
      <c r="Q743">
        <v>2</v>
      </c>
      <c r="R743">
        <v>2</v>
      </c>
      <c r="S743" t="s">
        <v>63</v>
      </c>
      <c r="T743">
        <v>1</v>
      </c>
      <c r="U743">
        <v>1</v>
      </c>
      <c r="V743">
        <v>0</v>
      </c>
      <c r="W743">
        <v>0</v>
      </c>
      <c r="X743" t="s">
        <v>58</v>
      </c>
    </row>
    <row r="744" customHeight="1" spans="1:24">
      <c r="A744" t="s">
        <v>807</v>
      </c>
      <c r="B744">
        <v>72</v>
      </c>
      <c r="C744">
        <v>38</v>
      </c>
      <c r="D744" t="s">
        <v>72</v>
      </c>
      <c r="E744" t="s">
        <v>61</v>
      </c>
      <c r="F744" t="s">
        <v>58</v>
      </c>
      <c r="G744">
        <v>182</v>
      </c>
      <c r="H744">
        <v>24.03</v>
      </c>
      <c r="I744">
        <v>35</v>
      </c>
      <c r="J744">
        <v>1184.35</v>
      </c>
      <c r="K744">
        <v>0</v>
      </c>
      <c r="L744" t="s">
        <v>62</v>
      </c>
      <c r="M744">
        <v>0</v>
      </c>
      <c r="N744">
        <v>1</v>
      </c>
      <c r="O744">
        <v>13.5</v>
      </c>
      <c r="P744">
        <v>1</v>
      </c>
      <c r="Q744">
        <v>0</v>
      </c>
      <c r="R744">
        <v>0</v>
      </c>
      <c r="S744" t="s">
        <v>63</v>
      </c>
      <c r="T744">
        <v>0</v>
      </c>
      <c r="U744">
        <v>0</v>
      </c>
      <c r="V744">
        <v>0</v>
      </c>
      <c r="W744">
        <v>0</v>
      </c>
      <c r="X744" t="s">
        <v>58</v>
      </c>
    </row>
    <row r="745" customHeight="1" spans="1:24">
      <c r="A745" t="s">
        <v>808</v>
      </c>
      <c r="B745">
        <v>25</v>
      </c>
      <c r="C745">
        <v>20</v>
      </c>
      <c r="D745" t="s">
        <v>53</v>
      </c>
      <c r="E745" t="s">
        <v>69</v>
      </c>
      <c r="F745" t="s">
        <v>55</v>
      </c>
      <c r="G745">
        <v>434</v>
      </c>
      <c r="H745">
        <v>11.81</v>
      </c>
      <c r="I745">
        <v>243</v>
      </c>
      <c r="J745">
        <v>381.32</v>
      </c>
      <c r="K745">
        <v>0</v>
      </c>
      <c r="L745" t="s">
        <v>62</v>
      </c>
      <c r="M745">
        <v>0</v>
      </c>
      <c r="N745">
        <v>0</v>
      </c>
      <c r="O745">
        <v>23.1</v>
      </c>
      <c r="P745">
        <v>0</v>
      </c>
      <c r="Q745">
        <v>1</v>
      </c>
      <c r="R745">
        <v>0</v>
      </c>
      <c r="S745" t="s">
        <v>57</v>
      </c>
      <c r="T745">
        <v>0</v>
      </c>
      <c r="U745">
        <v>0</v>
      </c>
      <c r="V745">
        <v>0</v>
      </c>
      <c r="W745">
        <v>1</v>
      </c>
      <c r="X745" t="s">
        <v>55</v>
      </c>
    </row>
    <row r="746" customHeight="1" spans="1:24">
      <c r="A746" t="s">
        <v>809</v>
      </c>
      <c r="B746">
        <v>67</v>
      </c>
      <c r="C746">
        <v>34</v>
      </c>
      <c r="D746" t="s">
        <v>53</v>
      </c>
      <c r="E746" t="s">
        <v>69</v>
      </c>
      <c r="F746" t="s">
        <v>55</v>
      </c>
      <c r="G746">
        <v>410</v>
      </c>
      <c r="H746">
        <v>25.1</v>
      </c>
      <c r="I746">
        <v>45</v>
      </c>
      <c r="J746">
        <v>399.37</v>
      </c>
      <c r="K746">
        <v>1</v>
      </c>
      <c r="L746" t="s">
        <v>56</v>
      </c>
      <c r="M746">
        <v>0</v>
      </c>
      <c r="N746">
        <v>0</v>
      </c>
      <c r="O746">
        <v>17.4</v>
      </c>
      <c r="P746">
        <v>2</v>
      </c>
      <c r="Q746">
        <v>0</v>
      </c>
      <c r="R746">
        <v>1</v>
      </c>
      <c r="S746" t="s">
        <v>63</v>
      </c>
      <c r="T746">
        <v>0</v>
      </c>
      <c r="U746">
        <v>1</v>
      </c>
      <c r="V746">
        <v>0</v>
      </c>
      <c r="W746">
        <v>1</v>
      </c>
      <c r="X746" t="s">
        <v>55</v>
      </c>
    </row>
    <row r="747" customHeight="1" spans="1:24">
      <c r="A747" t="s">
        <v>810</v>
      </c>
      <c r="B747">
        <v>50</v>
      </c>
      <c r="C747">
        <v>31</v>
      </c>
      <c r="D747" t="s">
        <v>53</v>
      </c>
      <c r="E747" t="s">
        <v>65</v>
      </c>
      <c r="F747" t="s">
        <v>55</v>
      </c>
      <c r="G747">
        <v>657</v>
      </c>
      <c r="H747">
        <v>8.94</v>
      </c>
      <c r="I747">
        <v>166</v>
      </c>
      <c r="J747">
        <v>424.99</v>
      </c>
      <c r="K747">
        <v>0</v>
      </c>
      <c r="L747" t="s">
        <v>62</v>
      </c>
      <c r="M747">
        <v>0</v>
      </c>
      <c r="N747">
        <v>0</v>
      </c>
      <c r="O747">
        <v>28.2</v>
      </c>
      <c r="P747">
        <v>6</v>
      </c>
      <c r="Q747">
        <v>0</v>
      </c>
      <c r="R747">
        <v>0</v>
      </c>
      <c r="S747" t="s">
        <v>63</v>
      </c>
      <c r="T747">
        <v>0</v>
      </c>
      <c r="U747">
        <v>0</v>
      </c>
      <c r="V747">
        <v>0</v>
      </c>
      <c r="W747">
        <v>1</v>
      </c>
      <c r="X747" t="s">
        <v>55</v>
      </c>
    </row>
    <row r="748" customHeight="1" spans="1:24">
      <c r="A748" t="s">
        <v>811</v>
      </c>
      <c r="B748">
        <v>60</v>
      </c>
      <c r="C748">
        <v>24</v>
      </c>
      <c r="D748" t="s">
        <v>72</v>
      </c>
      <c r="E748" t="s">
        <v>69</v>
      </c>
      <c r="F748" t="s">
        <v>58</v>
      </c>
      <c r="G748">
        <v>365</v>
      </c>
      <c r="H748">
        <v>12.27</v>
      </c>
      <c r="I748">
        <v>134</v>
      </c>
      <c r="J748">
        <v>993.28</v>
      </c>
      <c r="K748">
        <v>1</v>
      </c>
      <c r="L748" t="s">
        <v>56</v>
      </c>
      <c r="M748">
        <v>0</v>
      </c>
      <c r="N748">
        <v>0</v>
      </c>
      <c r="O748">
        <v>46.7</v>
      </c>
      <c r="P748">
        <v>1</v>
      </c>
      <c r="Q748">
        <v>2</v>
      </c>
      <c r="R748">
        <v>0</v>
      </c>
      <c r="S748" t="s">
        <v>57</v>
      </c>
      <c r="T748">
        <v>0</v>
      </c>
      <c r="U748">
        <v>1</v>
      </c>
      <c r="V748">
        <v>0</v>
      </c>
      <c r="W748">
        <v>0</v>
      </c>
      <c r="X748" t="s">
        <v>58</v>
      </c>
    </row>
    <row r="749" customHeight="1" spans="1:24">
      <c r="A749" t="s">
        <v>812</v>
      </c>
      <c r="B749">
        <v>40</v>
      </c>
      <c r="C749">
        <v>51</v>
      </c>
      <c r="D749" t="s">
        <v>60</v>
      </c>
      <c r="E749" t="s">
        <v>76</v>
      </c>
      <c r="F749" t="s">
        <v>58</v>
      </c>
      <c r="G749">
        <v>374</v>
      </c>
      <c r="H749">
        <v>12.71</v>
      </c>
      <c r="I749">
        <v>162</v>
      </c>
      <c r="J749">
        <v>850.32</v>
      </c>
      <c r="K749">
        <v>0</v>
      </c>
      <c r="L749" t="s">
        <v>62</v>
      </c>
      <c r="M749">
        <v>1</v>
      </c>
      <c r="N749">
        <v>3</v>
      </c>
      <c r="O749">
        <v>19.6</v>
      </c>
      <c r="P749">
        <v>0</v>
      </c>
      <c r="Q749">
        <v>0</v>
      </c>
      <c r="R749">
        <v>1</v>
      </c>
      <c r="S749" t="s">
        <v>63</v>
      </c>
      <c r="T749">
        <v>1</v>
      </c>
      <c r="U749">
        <v>0</v>
      </c>
      <c r="V749">
        <v>0</v>
      </c>
      <c r="W749">
        <v>0</v>
      </c>
      <c r="X749" t="s">
        <v>58</v>
      </c>
    </row>
    <row r="750" customHeight="1" spans="1:24">
      <c r="A750" t="s">
        <v>813</v>
      </c>
      <c r="B750">
        <v>55</v>
      </c>
      <c r="C750">
        <v>22</v>
      </c>
      <c r="D750" t="s">
        <v>60</v>
      </c>
      <c r="E750" t="s">
        <v>76</v>
      </c>
      <c r="F750" t="s">
        <v>58</v>
      </c>
      <c r="G750">
        <v>528</v>
      </c>
      <c r="H750">
        <v>7.28</v>
      </c>
      <c r="I750">
        <v>239</v>
      </c>
      <c r="J750">
        <v>832.19</v>
      </c>
      <c r="K750">
        <v>0</v>
      </c>
      <c r="L750" t="s">
        <v>62</v>
      </c>
      <c r="M750">
        <v>0</v>
      </c>
      <c r="N750">
        <v>0</v>
      </c>
      <c r="O750">
        <v>30.4</v>
      </c>
      <c r="P750">
        <v>1</v>
      </c>
      <c r="Q750">
        <v>0</v>
      </c>
      <c r="R750">
        <v>0</v>
      </c>
      <c r="S750" t="s">
        <v>57</v>
      </c>
      <c r="T750">
        <v>0</v>
      </c>
      <c r="U750">
        <v>0</v>
      </c>
      <c r="V750">
        <v>0</v>
      </c>
      <c r="W750">
        <v>0</v>
      </c>
      <c r="X750" t="s">
        <v>58</v>
      </c>
    </row>
    <row r="751" customHeight="1" spans="1:24">
      <c r="A751" t="s">
        <v>814</v>
      </c>
      <c r="B751">
        <v>32</v>
      </c>
      <c r="C751">
        <v>56</v>
      </c>
      <c r="D751" t="s">
        <v>60</v>
      </c>
      <c r="E751" t="s">
        <v>61</v>
      </c>
      <c r="F751" t="s">
        <v>58</v>
      </c>
      <c r="G751">
        <v>201</v>
      </c>
      <c r="H751">
        <v>28.16</v>
      </c>
      <c r="I751">
        <v>159</v>
      </c>
      <c r="J751">
        <v>807.63</v>
      </c>
      <c r="K751">
        <v>0</v>
      </c>
      <c r="L751" t="s">
        <v>62</v>
      </c>
      <c r="M751">
        <v>0</v>
      </c>
      <c r="N751">
        <v>1</v>
      </c>
      <c r="O751">
        <v>24.3</v>
      </c>
      <c r="P751">
        <v>2</v>
      </c>
      <c r="Q751">
        <v>0</v>
      </c>
      <c r="R751">
        <v>1</v>
      </c>
      <c r="S751" t="s">
        <v>63</v>
      </c>
      <c r="T751">
        <v>0</v>
      </c>
      <c r="U751">
        <v>0</v>
      </c>
      <c r="V751">
        <v>0</v>
      </c>
      <c r="W751">
        <v>0</v>
      </c>
      <c r="X751" t="s">
        <v>58</v>
      </c>
    </row>
    <row r="752" customHeight="1" spans="1:24">
      <c r="A752" t="s">
        <v>815</v>
      </c>
      <c r="B752">
        <v>48</v>
      </c>
      <c r="C752">
        <v>19</v>
      </c>
      <c r="D752" t="s">
        <v>60</v>
      </c>
      <c r="E752" t="s">
        <v>61</v>
      </c>
      <c r="F752" t="s">
        <v>55</v>
      </c>
      <c r="G752">
        <v>367</v>
      </c>
      <c r="H752">
        <v>8.31</v>
      </c>
      <c r="I752">
        <v>81</v>
      </c>
      <c r="J752">
        <v>649.67</v>
      </c>
      <c r="K752">
        <v>0</v>
      </c>
      <c r="L752" t="s">
        <v>62</v>
      </c>
      <c r="M752">
        <v>1</v>
      </c>
      <c r="N752">
        <v>2</v>
      </c>
      <c r="O752">
        <v>24.3</v>
      </c>
      <c r="P752">
        <v>1</v>
      </c>
      <c r="Q752">
        <v>0</v>
      </c>
      <c r="R752">
        <v>0</v>
      </c>
      <c r="S752" t="s">
        <v>57</v>
      </c>
      <c r="T752">
        <v>1</v>
      </c>
      <c r="U752">
        <v>0</v>
      </c>
      <c r="V752">
        <v>0</v>
      </c>
      <c r="W752">
        <v>1</v>
      </c>
      <c r="X752" t="s">
        <v>55</v>
      </c>
    </row>
    <row r="753" customHeight="1" spans="1:24">
      <c r="A753" t="s">
        <v>816</v>
      </c>
      <c r="B753">
        <v>31</v>
      </c>
      <c r="C753">
        <v>63</v>
      </c>
      <c r="D753" t="s">
        <v>60</v>
      </c>
      <c r="E753" t="s">
        <v>54</v>
      </c>
      <c r="F753" t="s">
        <v>58</v>
      </c>
      <c r="G753">
        <v>332</v>
      </c>
      <c r="H753">
        <v>17.41</v>
      </c>
      <c r="I753">
        <v>197</v>
      </c>
      <c r="J753">
        <v>877.75</v>
      </c>
      <c r="K753">
        <v>0</v>
      </c>
      <c r="L753" t="s">
        <v>62</v>
      </c>
      <c r="M753">
        <v>1</v>
      </c>
      <c r="N753">
        <v>1</v>
      </c>
      <c r="O753">
        <v>22</v>
      </c>
      <c r="P753">
        <v>1</v>
      </c>
      <c r="Q753">
        <v>0</v>
      </c>
      <c r="R753">
        <v>0</v>
      </c>
      <c r="S753" t="s">
        <v>63</v>
      </c>
      <c r="T753">
        <v>1</v>
      </c>
      <c r="U753">
        <v>0</v>
      </c>
      <c r="V753">
        <v>1</v>
      </c>
      <c r="W753">
        <v>0</v>
      </c>
      <c r="X753" t="s">
        <v>58</v>
      </c>
    </row>
    <row r="754" customHeight="1" spans="1:24">
      <c r="A754" t="s">
        <v>817</v>
      </c>
      <c r="B754">
        <v>40</v>
      </c>
      <c r="C754">
        <v>27</v>
      </c>
      <c r="D754" t="s">
        <v>60</v>
      </c>
      <c r="E754" t="s">
        <v>54</v>
      </c>
      <c r="F754" t="s">
        <v>58</v>
      </c>
      <c r="G754">
        <v>379</v>
      </c>
      <c r="H754">
        <v>30.55</v>
      </c>
      <c r="I754">
        <v>76</v>
      </c>
      <c r="J754">
        <v>665.69</v>
      </c>
      <c r="K754">
        <v>1</v>
      </c>
      <c r="L754" t="s">
        <v>56</v>
      </c>
      <c r="M754">
        <v>2</v>
      </c>
      <c r="N754">
        <v>2</v>
      </c>
      <c r="O754">
        <v>13.7</v>
      </c>
      <c r="P754">
        <v>0</v>
      </c>
      <c r="Q754">
        <v>0</v>
      </c>
      <c r="R754">
        <v>0</v>
      </c>
      <c r="S754" t="s">
        <v>63</v>
      </c>
      <c r="T754">
        <v>1</v>
      </c>
      <c r="U754">
        <v>1</v>
      </c>
      <c r="V754">
        <v>0</v>
      </c>
      <c r="W754">
        <v>0</v>
      </c>
      <c r="X754" t="s">
        <v>58</v>
      </c>
    </row>
    <row r="755" customHeight="1" spans="1:24">
      <c r="A755" t="s">
        <v>818</v>
      </c>
      <c r="B755">
        <v>41</v>
      </c>
      <c r="C755">
        <v>3</v>
      </c>
      <c r="D755" t="s">
        <v>60</v>
      </c>
      <c r="E755" t="s">
        <v>61</v>
      </c>
      <c r="F755" t="s">
        <v>55</v>
      </c>
      <c r="G755">
        <v>527</v>
      </c>
      <c r="H755">
        <v>12.29</v>
      </c>
      <c r="I755">
        <v>131</v>
      </c>
      <c r="J755">
        <v>778.33</v>
      </c>
      <c r="K755">
        <v>0</v>
      </c>
      <c r="L755" t="s">
        <v>62</v>
      </c>
      <c r="M755">
        <v>0</v>
      </c>
      <c r="N755">
        <v>0</v>
      </c>
      <c r="O755">
        <v>23.7</v>
      </c>
      <c r="P755">
        <v>2</v>
      </c>
      <c r="Q755">
        <v>0</v>
      </c>
      <c r="R755">
        <v>0</v>
      </c>
      <c r="S755" t="s">
        <v>66</v>
      </c>
      <c r="T755">
        <v>0</v>
      </c>
      <c r="U755">
        <v>0</v>
      </c>
      <c r="V755">
        <v>0</v>
      </c>
      <c r="W755">
        <v>1</v>
      </c>
      <c r="X755" t="s">
        <v>55</v>
      </c>
    </row>
    <row r="756" customHeight="1" spans="1:24">
      <c r="A756" t="s">
        <v>819</v>
      </c>
      <c r="B756">
        <v>68</v>
      </c>
      <c r="C756">
        <v>11</v>
      </c>
      <c r="D756" t="s">
        <v>53</v>
      </c>
      <c r="E756" t="s">
        <v>61</v>
      </c>
      <c r="F756" t="s">
        <v>58</v>
      </c>
      <c r="G756">
        <v>483</v>
      </c>
      <c r="H756">
        <v>16.12</v>
      </c>
      <c r="I756">
        <v>29</v>
      </c>
      <c r="J756">
        <v>435.55</v>
      </c>
      <c r="K756">
        <v>0</v>
      </c>
      <c r="L756" t="s">
        <v>62</v>
      </c>
      <c r="M756">
        <v>0</v>
      </c>
      <c r="N756">
        <v>0</v>
      </c>
      <c r="O756">
        <v>20.5</v>
      </c>
      <c r="P756">
        <v>1</v>
      </c>
      <c r="Q756">
        <v>0</v>
      </c>
      <c r="R756">
        <v>0</v>
      </c>
      <c r="S756" t="s">
        <v>57</v>
      </c>
      <c r="T756">
        <v>0</v>
      </c>
      <c r="U756">
        <v>0</v>
      </c>
      <c r="V756">
        <v>0</v>
      </c>
      <c r="W756">
        <v>0</v>
      </c>
      <c r="X756" t="s">
        <v>58</v>
      </c>
    </row>
    <row r="757" customHeight="1" spans="1:24">
      <c r="A757" t="s">
        <v>820</v>
      </c>
      <c r="B757">
        <v>54</v>
      </c>
      <c r="C757">
        <v>59</v>
      </c>
      <c r="D757" t="s">
        <v>72</v>
      </c>
      <c r="E757" t="s">
        <v>61</v>
      </c>
      <c r="F757" t="s">
        <v>55</v>
      </c>
      <c r="G757">
        <v>288</v>
      </c>
      <c r="H757">
        <v>7.88</v>
      </c>
      <c r="I757">
        <v>48</v>
      </c>
      <c r="J757">
        <v>1060</v>
      </c>
      <c r="K757">
        <v>1</v>
      </c>
      <c r="L757" t="s">
        <v>56</v>
      </c>
      <c r="M757">
        <v>0</v>
      </c>
      <c r="N757">
        <v>0</v>
      </c>
      <c r="O757">
        <v>13.1</v>
      </c>
      <c r="P757">
        <v>1</v>
      </c>
      <c r="Q757">
        <v>0</v>
      </c>
      <c r="R757">
        <v>0</v>
      </c>
      <c r="S757" t="s">
        <v>63</v>
      </c>
      <c r="T757">
        <v>0</v>
      </c>
      <c r="U757">
        <v>1</v>
      </c>
      <c r="V757">
        <v>0</v>
      </c>
      <c r="W757">
        <v>1</v>
      </c>
      <c r="X757" t="s">
        <v>55</v>
      </c>
    </row>
    <row r="758" customHeight="1" spans="1:24">
      <c r="A758" t="s">
        <v>821</v>
      </c>
      <c r="B758">
        <v>55</v>
      </c>
      <c r="C758">
        <v>63</v>
      </c>
      <c r="D758" t="s">
        <v>72</v>
      </c>
      <c r="E758" t="s">
        <v>76</v>
      </c>
      <c r="F758" t="s">
        <v>55</v>
      </c>
      <c r="G758">
        <v>421</v>
      </c>
      <c r="H758">
        <v>26.33</v>
      </c>
      <c r="I758">
        <v>124</v>
      </c>
      <c r="J758">
        <v>1117.06</v>
      </c>
      <c r="K758">
        <v>1</v>
      </c>
      <c r="L758" t="s">
        <v>56</v>
      </c>
      <c r="M758">
        <v>0</v>
      </c>
      <c r="N758">
        <v>0</v>
      </c>
      <c r="O758">
        <v>23.7</v>
      </c>
      <c r="P758">
        <v>2</v>
      </c>
      <c r="Q758">
        <v>1</v>
      </c>
      <c r="R758">
        <v>0</v>
      </c>
      <c r="S758" t="s">
        <v>63</v>
      </c>
      <c r="T758">
        <v>0</v>
      </c>
      <c r="U758">
        <v>1</v>
      </c>
      <c r="V758">
        <v>0</v>
      </c>
      <c r="W758">
        <v>1</v>
      </c>
      <c r="X758" t="s">
        <v>55</v>
      </c>
    </row>
    <row r="759" customHeight="1" spans="1:24">
      <c r="A759" t="s">
        <v>822</v>
      </c>
      <c r="B759">
        <v>34</v>
      </c>
      <c r="C759">
        <v>16</v>
      </c>
      <c r="D759" t="s">
        <v>53</v>
      </c>
      <c r="E759" t="s">
        <v>54</v>
      </c>
      <c r="F759" t="s">
        <v>55</v>
      </c>
      <c r="G759">
        <v>624</v>
      </c>
      <c r="H759">
        <v>26.47</v>
      </c>
      <c r="I759">
        <v>146</v>
      </c>
      <c r="J759">
        <v>409.84</v>
      </c>
      <c r="K759">
        <v>2</v>
      </c>
      <c r="L759" t="s">
        <v>56</v>
      </c>
      <c r="M759">
        <v>1</v>
      </c>
      <c r="N759">
        <v>2</v>
      </c>
      <c r="O759">
        <v>25.2</v>
      </c>
      <c r="P759">
        <v>0</v>
      </c>
      <c r="Q759">
        <v>3</v>
      </c>
      <c r="R759">
        <v>1</v>
      </c>
      <c r="S759" t="s">
        <v>57</v>
      </c>
      <c r="T759">
        <v>1</v>
      </c>
      <c r="U759">
        <v>1</v>
      </c>
      <c r="V759">
        <v>0</v>
      </c>
      <c r="W759">
        <v>1</v>
      </c>
      <c r="X759" t="s">
        <v>58</v>
      </c>
    </row>
    <row r="760" customHeight="1" spans="1:24">
      <c r="A760" t="s">
        <v>823</v>
      </c>
      <c r="B760">
        <v>43</v>
      </c>
      <c r="C760">
        <v>44</v>
      </c>
      <c r="D760" t="s">
        <v>60</v>
      </c>
      <c r="E760" t="s">
        <v>61</v>
      </c>
      <c r="F760" t="s">
        <v>55</v>
      </c>
      <c r="G760">
        <v>275</v>
      </c>
      <c r="H760">
        <v>25.39</v>
      </c>
      <c r="I760">
        <v>1</v>
      </c>
      <c r="J760">
        <v>1643.8575</v>
      </c>
      <c r="K760">
        <v>2</v>
      </c>
      <c r="L760" t="s">
        <v>56</v>
      </c>
      <c r="M760">
        <v>0</v>
      </c>
      <c r="N760">
        <v>0</v>
      </c>
      <c r="O760">
        <v>23.7</v>
      </c>
      <c r="P760">
        <v>1</v>
      </c>
      <c r="Q760">
        <v>0</v>
      </c>
      <c r="R760">
        <v>1</v>
      </c>
      <c r="S760" t="s">
        <v>63</v>
      </c>
      <c r="T760">
        <v>0</v>
      </c>
      <c r="U760">
        <v>1</v>
      </c>
      <c r="V760">
        <v>0</v>
      </c>
      <c r="W760">
        <v>1</v>
      </c>
      <c r="X760" t="s">
        <v>55</v>
      </c>
    </row>
    <row r="761" customHeight="1" spans="1:24">
      <c r="A761" t="s">
        <v>824</v>
      </c>
      <c r="B761">
        <v>45</v>
      </c>
      <c r="C761">
        <v>42</v>
      </c>
      <c r="D761" t="s">
        <v>53</v>
      </c>
      <c r="E761" t="s">
        <v>61</v>
      </c>
      <c r="F761" t="s">
        <v>58</v>
      </c>
      <c r="G761">
        <v>422</v>
      </c>
      <c r="H761">
        <v>23.38</v>
      </c>
      <c r="I761">
        <v>155</v>
      </c>
      <c r="J761">
        <v>428.57</v>
      </c>
      <c r="K761">
        <v>0</v>
      </c>
      <c r="L761" t="s">
        <v>62</v>
      </c>
      <c r="M761">
        <v>1</v>
      </c>
      <c r="N761">
        <v>1</v>
      </c>
      <c r="O761">
        <v>40.1</v>
      </c>
      <c r="P761">
        <v>0</v>
      </c>
      <c r="Q761">
        <v>1</v>
      </c>
      <c r="R761">
        <v>0</v>
      </c>
      <c r="S761" t="s">
        <v>63</v>
      </c>
      <c r="T761">
        <v>1</v>
      </c>
      <c r="U761">
        <v>0</v>
      </c>
      <c r="V761">
        <v>0</v>
      </c>
      <c r="W761">
        <v>0</v>
      </c>
      <c r="X761" t="s">
        <v>58</v>
      </c>
    </row>
    <row r="762" customHeight="1" spans="1:24">
      <c r="A762" t="s">
        <v>825</v>
      </c>
      <c r="B762">
        <v>63</v>
      </c>
      <c r="C762">
        <v>10</v>
      </c>
      <c r="D762" t="s">
        <v>72</v>
      </c>
      <c r="E762" t="s">
        <v>65</v>
      </c>
      <c r="F762" t="s">
        <v>58</v>
      </c>
      <c r="G762">
        <v>371</v>
      </c>
      <c r="H762">
        <v>18.74</v>
      </c>
      <c r="I762">
        <v>63</v>
      </c>
      <c r="J762">
        <v>971.77</v>
      </c>
      <c r="K762">
        <v>0</v>
      </c>
      <c r="L762" t="s">
        <v>62</v>
      </c>
      <c r="M762">
        <v>1</v>
      </c>
      <c r="N762">
        <v>1</v>
      </c>
      <c r="O762">
        <v>2</v>
      </c>
      <c r="P762">
        <v>1</v>
      </c>
      <c r="Q762">
        <v>0</v>
      </c>
      <c r="R762">
        <v>0</v>
      </c>
      <c r="S762" t="s">
        <v>57</v>
      </c>
      <c r="T762">
        <v>1</v>
      </c>
      <c r="U762">
        <v>0</v>
      </c>
      <c r="V762">
        <v>0</v>
      </c>
      <c r="W762">
        <v>0</v>
      </c>
      <c r="X762" t="s">
        <v>58</v>
      </c>
    </row>
    <row r="763" customHeight="1" spans="1:24">
      <c r="A763" t="s">
        <v>826</v>
      </c>
      <c r="B763">
        <v>28</v>
      </c>
      <c r="C763">
        <v>33</v>
      </c>
      <c r="D763" t="s">
        <v>72</v>
      </c>
      <c r="E763" t="s">
        <v>69</v>
      </c>
      <c r="F763" t="s">
        <v>58</v>
      </c>
      <c r="G763">
        <v>391</v>
      </c>
      <c r="H763">
        <v>12.76</v>
      </c>
      <c r="I763">
        <v>210</v>
      </c>
      <c r="J763">
        <v>902.32</v>
      </c>
      <c r="K763">
        <v>0</v>
      </c>
      <c r="L763" t="s">
        <v>62</v>
      </c>
      <c r="M763">
        <v>1</v>
      </c>
      <c r="N763">
        <v>3</v>
      </c>
      <c r="O763">
        <v>39.3</v>
      </c>
      <c r="P763">
        <v>0</v>
      </c>
      <c r="Q763">
        <v>0</v>
      </c>
      <c r="R763">
        <v>0</v>
      </c>
      <c r="S763" t="s">
        <v>63</v>
      </c>
      <c r="T763">
        <v>1</v>
      </c>
      <c r="U763">
        <v>0</v>
      </c>
      <c r="V763">
        <v>0</v>
      </c>
      <c r="W763">
        <v>0</v>
      </c>
      <c r="X763" t="s">
        <v>58</v>
      </c>
    </row>
    <row r="764" customHeight="1" spans="1:24">
      <c r="A764" t="s">
        <v>827</v>
      </c>
      <c r="B764">
        <v>21</v>
      </c>
      <c r="C764">
        <v>50</v>
      </c>
      <c r="D764" t="s">
        <v>72</v>
      </c>
      <c r="E764" t="s">
        <v>76</v>
      </c>
      <c r="F764" t="s">
        <v>55</v>
      </c>
      <c r="G764">
        <v>155</v>
      </c>
      <c r="H764">
        <v>9.85</v>
      </c>
      <c r="I764">
        <v>95</v>
      </c>
      <c r="J764">
        <v>1114.76</v>
      </c>
      <c r="K764">
        <v>1</v>
      </c>
      <c r="L764" t="s">
        <v>56</v>
      </c>
      <c r="M764">
        <v>0</v>
      </c>
      <c r="N764">
        <v>0</v>
      </c>
      <c r="O764">
        <v>23.7</v>
      </c>
      <c r="P764">
        <v>4</v>
      </c>
      <c r="Q764">
        <v>1</v>
      </c>
      <c r="R764">
        <v>0</v>
      </c>
      <c r="S764" t="s">
        <v>63</v>
      </c>
      <c r="T764">
        <v>0</v>
      </c>
      <c r="U764">
        <v>1</v>
      </c>
      <c r="V764">
        <v>0</v>
      </c>
      <c r="W764">
        <v>1</v>
      </c>
      <c r="X764" t="s">
        <v>55</v>
      </c>
    </row>
    <row r="765" customHeight="1" spans="1:24">
      <c r="A765" t="s">
        <v>828</v>
      </c>
      <c r="B765">
        <v>47</v>
      </c>
      <c r="C765">
        <v>70</v>
      </c>
      <c r="D765" t="s">
        <v>53</v>
      </c>
      <c r="E765" t="s">
        <v>54</v>
      </c>
      <c r="F765" t="s">
        <v>58</v>
      </c>
      <c r="G765">
        <v>612</v>
      </c>
      <c r="H765">
        <v>30.9</v>
      </c>
      <c r="I765">
        <v>41</v>
      </c>
      <c r="J765">
        <v>483.58</v>
      </c>
      <c r="K765">
        <v>0</v>
      </c>
      <c r="L765" t="s">
        <v>62</v>
      </c>
      <c r="M765">
        <v>1</v>
      </c>
      <c r="N765">
        <v>2</v>
      </c>
      <c r="O765">
        <v>26.5</v>
      </c>
      <c r="P765">
        <v>1</v>
      </c>
      <c r="Q765">
        <v>0</v>
      </c>
      <c r="R765">
        <v>0</v>
      </c>
      <c r="S765" t="s">
        <v>63</v>
      </c>
      <c r="T765">
        <v>1</v>
      </c>
      <c r="U765">
        <v>0</v>
      </c>
      <c r="V765">
        <v>0</v>
      </c>
      <c r="W765">
        <v>0</v>
      </c>
      <c r="X765" t="s">
        <v>58</v>
      </c>
    </row>
    <row r="766" customHeight="1" spans="1:24">
      <c r="A766" t="s">
        <v>829</v>
      </c>
      <c r="B766">
        <v>65</v>
      </c>
      <c r="C766">
        <v>62</v>
      </c>
      <c r="D766" t="s">
        <v>53</v>
      </c>
      <c r="E766" t="s">
        <v>69</v>
      </c>
      <c r="F766" t="s">
        <v>58</v>
      </c>
      <c r="G766">
        <v>284</v>
      </c>
      <c r="H766">
        <v>25.65</v>
      </c>
      <c r="I766">
        <v>125</v>
      </c>
      <c r="J766">
        <v>472.43</v>
      </c>
      <c r="K766">
        <v>0</v>
      </c>
      <c r="L766" t="s">
        <v>62</v>
      </c>
      <c r="M766">
        <v>0</v>
      </c>
      <c r="N766">
        <v>2</v>
      </c>
      <c r="O766">
        <v>16.9</v>
      </c>
      <c r="P766">
        <v>1</v>
      </c>
      <c r="Q766">
        <v>2</v>
      </c>
      <c r="R766">
        <v>0</v>
      </c>
      <c r="S766" t="s">
        <v>63</v>
      </c>
      <c r="T766">
        <v>0</v>
      </c>
      <c r="U766">
        <v>0</v>
      </c>
      <c r="V766">
        <v>0</v>
      </c>
      <c r="W766">
        <v>0</v>
      </c>
      <c r="X766" t="s">
        <v>58</v>
      </c>
    </row>
    <row r="767" customHeight="1" spans="1:24">
      <c r="A767" t="s">
        <v>830</v>
      </c>
      <c r="B767">
        <v>60</v>
      </c>
      <c r="C767">
        <v>8</v>
      </c>
      <c r="D767" t="s">
        <v>53</v>
      </c>
      <c r="E767" t="s">
        <v>69</v>
      </c>
      <c r="F767" t="s">
        <v>55</v>
      </c>
      <c r="G767">
        <v>554</v>
      </c>
      <c r="H767">
        <v>11.07</v>
      </c>
      <c r="I767">
        <v>56</v>
      </c>
      <c r="J767">
        <v>1643.8575</v>
      </c>
      <c r="K767">
        <v>1</v>
      </c>
      <c r="L767" t="s">
        <v>56</v>
      </c>
      <c r="M767">
        <v>0</v>
      </c>
      <c r="N767">
        <v>0</v>
      </c>
      <c r="O767">
        <v>12.9</v>
      </c>
      <c r="P767">
        <v>0</v>
      </c>
      <c r="Q767">
        <v>0</v>
      </c>
      <c r="R767">
        <v>1</v>
      </c>
      <c r="S767" t="s">
        <v>57</v>
      </c>
      <c r="T767">
        <v>0</v>
      </c>
      <c r="U767">
        <v>1</v>
      </c>
      <c r="V767">
        <v>0</v>
      </c>
      <c r="W767">
        <v>1</v>
      </c>
      <c r="X767" t="s">
        <v>58</v>
      </c>
    </row>
    <row r="768" customHeight="1" spans="1:24">
      <c r="A768" t="s">
        <v>831</v>
      </c>
      <c r="B768">
        <v>65</v>
      </c>
      <c r="C768">
        <v>18</v>
      </c>
      <c r="D768" t="s">
        <v>53</v>
      </c>
      <c r="E768" t="s">
        <v>69</v>
      </c>
      <c r="F768" t="s">
        <v>58</v>
      </c>
      <c r="G768">
        <v>307</v>
      </c>
      <c r="H768">
        <v>18.4</v>
      </c>
      <c r="I768">
        <v>209</v>
      </c>
      <c r="J768">
        <v>411.62</v>
      </c>
      <c r="K768">
        <v>1</v>
      </c>
      <c r="L768" t="s">
        <v>56</v>
      </c>
      <c r="M768">
        <v>0</v>
      </c>
      <c r="N768">
        <v>0</v>
      </c>
      <c r="O768">
        <v>23.7</v>
      </c>
      <c r="P768">
        <v>0</v>
      </c>
      <c r="Q768">
        <v>0</v>
      </c>
      <c r="R768">
        <v>1</v>
      </c>
      <c r="S768" t="s">
        <v>57</v>
      </c>
      <c r="T768">
        <v>0</v>
      </c>
      <c r="U768">
        <v>1</v>
      </c>
      <c r="V768">
        <v>0</v>
      </c>
      <c r="W768">
        <v>0</v>
      </c>
      <c r="X768" t="s">
        <v>58</v>
      </c>
    </row>
    <row r="769" customHeight="1" spans="1:24">
      <c r="A769" t="s">
        <v>832</v>
      </c>
      <c r="B769">
        <v>40</v>
      </c>
      <c r="C769">
        <v>32</v>
      </c>
      <c r="D769" t="s">
        <v>53</v>
      </c>
      <c r="E769" t="s">
        <v>65</v>
      </c>
      <c r="F769" t="s">
        <v>55</v>
      </c>
      <c r="G769">
        <v>306</v>
      </c>
      <c r="H769">
        <v>15</v>
      </c>
      <c r="I769">
        <v>120</v>
      </c>
      <c r="J769">
        <v>452.88</v>
      </c>
      <c r="K769">
        <v>0</v>
      </c>
      <c r="L769" t="s">
        <v>62</v>
      </c>
      <c r="M769">
        <v>0</v>
      </c>
      <c r="N769">
        <v>0</v>
      </c>
      <c r="O769">
        <v>46.3</v>
      </c>
      <c r="P769">
        <v>1</v>
      </c>
      <c r="Q769">
        <v>2</v>
      </c>
      <c r="R769">
        <v>0</v>
      </c>
      <c r="S769" t="s">
        <v>63</v>
      </c>
      <c r="T769">
        <v>0</v>
      </c>
      <c r="U769">
        <v>0</v>
      </c>
      <c r="V769">
        <v>0</v>
      </c>
      <c r="W769">
        <v>1</v>
      </c>
      <c r="X769" t="s">
        <v>55</v>
      </c>
    </row>
    <row r="770" customHeight="1" spans="1:24">
      <c r="A770" t="s">
        <v>833</v>
      </c>
      <c r="B770">
        <v>31</v>
      </c>
      <c r="C770">
        <v>11</v>
      </c>
      <c r="D770" t="s">
        <v>53</v>
      </c>
      <c r="E770" t="s">
        <v>69</v>
      </c>
      <c r="F770" t="s">
        <v>55</v>
      </c>
      <c r="G770">
        <v>582</v>
      </c>
      <c r="H770">
        <v>6.72</v>
      </c>
      <c r="I770">
        <v>109</v>
      </c>
      <c r="J770">
        <v>445.69</v>
      </c>
      <c r="K770">
        <v>0</v>
      </c>
      <c r="L770" t="s">
        <v>62</v>
      </c>
      <c r="M770">
        <v>0</v>
      </c>
      <c r="N770">
        <v>1</v>
      </c>
      <c r="O770">
        <v>21.3</v>
      </c>
      <c r="P770">
        <v>3</v>
      </c>
      <c r="Q770">
        <v>1</v>
      </c>
      <c r="R770">
        <v>0</v>
      </c>
      <c r="S770" t="s">
        <v>57</v>
      </c>
      <c r="T770">
        <v>0</v>
      </c>
      <c r="U770">
        <v>0</v>
      </c>
      <c r="V770">
        <v>0</v>
      </c>
      <c r="W770">
        <v>1</v>
      </c>
      <c r="X770" t="s">
        <v>55</v>
      </c>
    </row>
    <row r="771" customHeight="1" spans="1:24">
      <c r="A771" t="s">
        <v>834</v>
      </c>
      <c r="B771">
        <v>56</v>
      </c>
      <c r="C771">
        <v>42</v>
      </c>
      <c r="D771" t="s">
        <v>72</v>
      </c>
      <c r="E771" t="s">
        <v>69</v>
      </c>
      <c r="F771" t="s">
        <v>55</v>
      </c>
      <c r="G771">
        <v>549</v>
      </c>
      <c r="H771">
        <v>19.78</v>
      </c>
      <c r="I771">
        <v>161</v>
      </c>
      <c r="J771">
        <v>1067.59</v>
      </c>
      <c r="K771">
        <v>0</v>
      </c>
      <c r="L771" t="s">
        <v>62</v>
      </c>
      <c r="M771">
        <v>0</v>
      </c>
      <c r="N771">
        <v>0</v>
      </c>
      <c r="O771">
        <v>28</v>
      </c>
      <c r="P771">
        <v>0</v>
      </c>
      <c r="Q771">
        <v>3</v>
      </c>
      <c r="R771">
        <v>1</v>
      </c>
      <c r="S771" t="s">
        <v>63</v>
      </c>
      <c r="T771">
        <v>0</v>
      </c>
      <c r="U771">
        <v>0</v>
      </c>
      <c r="V771">
        <v>0</v>
      </c>
      <c r="W771">
        <v>1</v>
      </c>
      <c r="X771" t="s">
        <v>55</v>
      </c>
    </row>
    <row r="772" customHeight="1" spans="1:24">
      <c r="A772" t="s">
        <v>835</v>
      </c>
      <c r="B772">
        <v>20</v>
      </c>
      <c r="C772">
        <v>1</v>
      </c>
      <c r="D772" t="s">
        <v>53</v>
      </c>
      <c r="E772" t="s">
        <v>69</v>
      </c>
      <c r="F772" t="s">
        <v>55</v>
      </c>
      <c r="G772">
        <v>431</v>
      </c>
      <c r="H772">
        <v>13.85</v>
      </c>
      <c r="I772">
        <v>50</v>
      </c>
      <c r="J772">
        <v>378.24</v>
      </c>
      <c r="K772">
        <v>1</v>
      </c>
      <c r="L772" t="s">
        <v>56</v>
      </c>
      <c r="M772">
        <v>1</v>
      </c>
      <c r="N772">
        <v>1</v>
      </c>
      <c r="O772">
        <v>24.7</v>
      </c>
      <c r="P772">
        <v>2</v>
      </c>
      <c r="Q772">
        <v>0</v>
      </c>
      <c r="R772">
        <v>2</v>
      </c>
      <c r="S772" t="s">
        <v>66</v>
      </c>
      <c r="T772">
        <v>1</v>
      </c>
      <c r="U772">
        <v>1</v>
      </c>
      <c r="V772">
        <v>0</v>
      </c>
      <c r="W772">
        <v>1</v>
      </c>
      <c r="X772" t="s">
        <v>55</v>
      </c>
    </row>
    <row r="773" customHeight="1" spans="1:24">
      <c r="A773" t="s">
        <v>836</v>
      </c>
      <c r="B773">
        <v>69</v>
      </c>
      <c r="C773">
        <v>9</v>
      </c>
      <c r="D773" t="s">
        <v>53</v>
      </c>
      <c r="E773" t="s">
        <v>69</v>
      </c>
      <c r="F773" t="s">
        <v>58</v>
      </c>
      <c r="G773">
        <v>514</v>
      </c>
      <c r="H773">
        <v>8.47</v>
      </c>
      <c r="I773">
        <v>30</v>
      </c>
      <c r="J773">
        <v>521.19</v>
      </c>
      <c r="K773">
        <v>0</v>
      </c>
      <c r="L773" t="s">
        <v>62</v>
      </c>
      <c r="M773">
        <v>2</v>
      </c>
      <c r="N773">
        <v>3</v>
      </c>
      <c r="O773">
        <v>44.8</v>
      </c>
      <c r="P773">
        <v>1</v>
      </c>
      <c r="Q773">
        <v>0</v>
      </c>
      <c r="R773">
        <v>3</v>
      </c>
      <c r="S773" t="s">
        <v>57</v>
      </c>
      <c r="T773">
        <v>1</v>
      </c>
      <c r="U773">
        <v>0</v>
      </c>
      <c r="V773">
        <v>0</v>
      </c>
      <c r="W773">
        <v>0</v>
      </c>
      <c r="X773" t="s">
        <v>58</v>
      </c>
    </row>
    <row r="774" customHeight="1" spans="1:24">
      <c r="A774" t="s">
        <v>837</v>
      </c>
      <c r="B774">
        <v>59</v>
      </c>
      <c r="C774">
        <v>4</v>
      </c>
      <c r="D774" t="s">
        <v>72</v>
      </c>
      <c r="E774" t="s">
        <v>76</v>
      </c>
      <c r="F774" t="s">
        <v>58</v>
      </c>
      <c r="G774">
        <v>357</v>
      </c>
      <c r="H774">
        <v>3.21</v>
      </c>
      <c r="I774">
        <v>149</v>
      </c>
      <c r="J774">
        <v>1042.9</v>
      </c>
      <c r="K774">
        <v>0</v>
      </c>
      <c r="L774" t="s">
        <v>62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1</v>
      </c>
      <c r="S774" t="s">
        <v>66</v>
      </c>
      <c r="T774">
        <v>1</v>
      </c>
      <c r="U774">
        <v>0</v>
      </c>
      <c r="V774">
        <v>1</v>
      </c>
      <c r="W774">
        <v>0</v>
      </c>
      <c r="X774" t="s">
        <v>58</v>
      </c>
    </row>
    <row r="775" customHeight="1" spans="1:24">
      <c r="A775" t="s">
        <v>838</v>
      </c>
      <c r="B775">
        <v>47</v>
      </c>
      <c r="C775">
        <v>22</v>
      </c>
      <c r="D775" t="s">
        <v>60</v>
      </c>
      <c r="E775" t="s">
        <v>61</v>
      </c>
      <c r="F775" t="s">
        <v>58</v>
      </c>
      <c r="G775">
        <v>399</v>
      </c>
      <c r="H775">
        <v>2.36</v>
      </c>
      <c r="I775">
        <v>43</v>
      </c>
      <c r="J775">
        <v>870.95</v>
      </c>
      <c r="K775">
        <v>1</v>
      </c>
      <c r="L775" t="s">
        <v>56</v>
      </c>
      <c r="M775">
        <v>2</v>
      </c>
      <c r="N775">
        <v>3</v>
      </c>
      <c r="O775">
        <v>28.5</v>
      </c>
      <c r="P775">
        <v>0</v>
      </c>
      <c r="Q775">
        <v>1</v>
      </c>
      <c r="R775">
        <v>2</v>
      </c>
      <c r="S775" t="s">
        <v>57</v>
      </c>
      <c r="T775">
        <v>1</v>
      </c>
      <c r="U775">
        <v>1</v>
      </c>
      <c r="V775">
        <v>1</v>
      </c>
      <c r="W775">
        <v>0</v>
      </c>
      <c r="X775" t="s">
        <v>58</v>
      </c>
    </row>
    <row r="776" customHeight="1" spans="1:24">
      <c r="A776" t="s">
        <v>839</v>
      </c>
      <c r="B776">
        <v>29</v>
      </c>
      <c r="C776">
        <v>55</v>
      </c>
      <c r="D776" t="s">
        <v>72</v>
      </c>
      <c r="E776" t="s">
        <v>76</v>
      </c>
      <c r="F776" t="s">
        <v>58</v>
      </c>
      <c r="G776">
        <v>301</v>
      </c>
      <c r="H776">
        <v>14.29</v>
      </c>
      <c r="I776">
        <v>43</v>
      </c>
      <c r="J776">
        <v>1329.47</v>
      </c>
      <c r="K776">
        <v>0</v>
      </c>
      <c r="L776" t="s">
        <v>62</v>
      </c>
      <c r="M776">
        <v>0</v>
      </c>
      <c r="N776">
        <v>0</v>
      </c>
      <c r="O776">
        <v>15.3</v>
      </c>
      <c r="P776">
        <v>1</v>
      </c>
      <c r="Q776">
        <v>1</v>
      </c>
      <c r="R776">
        <v>0</v>
      </c>
      <c r="S776" t="s">
        <v>63</v>
      </c>
      <c r="T776">
        <v>0</v>
      </c>
      <c r="U776">
        <v>0</v>
      </c>
      <c r="V776">
        <v>0</v>
      </c>
      <c r="W776">
        <v>0</v>
      </c>
      <c r="X776" t="s">
        <v>58</v>
      </c>
    </row>
    <row r="777" customHeight="1" spans="1:24">
      <c r="A777" t="s">
        <v>840</v>
      </c>
      <c r="B777">
        <v>32</v>
      </c>
      <c r="C777">
        <v>13</v>
      </c>
      <c r="D777" t="s">
        <v>60</v>
      </c>
      <c r="E777" t="s">
        <v>76</v>
      </c>
      <c r="F777" t="s">
        <v>58</v>
      </c>
      <c r="G777">
        <v>536</v>
      </c>
      <c r="H777">
        <v>17.15</v>
      </c>
      <c r="I777">
        <v>179</v>
      </c>
      <c r="J777">
        <v>921.91</v>
      </c>
      <c r="K777">
        <v>1</v>
      </c>
      <c r="L777" t="s">
        <v>56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 t="s">
        <v>57</v>
      </c>
      <c r="T777">
        <v>0</v>
      </c>
      <c r="U777">
        <v>1</v>
      </c>
      <c r="V777">
        <v>0</v>
      </c>
      <c r="W777">
        <v>0</v>
      </c>
      <c r="X777" t="s">
        <v>58</v>
      </c>
    </row>
    <row r="778" customHeight="1" spans="1:24">
      <c r="A778" t="s">
        <v>841</v>
      </c>
      <c r="B778">
        <v>75</v>
      </c>
      <c r="C778">
        <v>72</v>
      </c>
      <c r="D778" t="s">
        <v>72</v>
      </c>
      <c r="E778" t="s">
        <v>54</v>
      </c>
      <c r="F778" t="s">
        <v>58</v>
      </c>
      <c r="G778">
        <v>296</v>
      </c>
      <c r="H778">
        <v>9.25</v>
      </c>
      <c r="I778">
        <v>157</v>
      </c>
      <c r="J778">
        <v>1240.23</v>
      </c>
      <c r="K778">
        <v>0</v>
      </c>
      <c r="L778" t="s">
        <v>62</v>
      </c>
      <c r="M778">
        <v>1</v>
      </c>
      <c r="N778">
        <v>1</v>
      </c>
      <c r="O778">
        <v>19.7</v>
      </c>
      <c r="P778">
        <v>2</v>
      </c>
      <c r="Q778">
        <v>0</v>
      </c>
      <c r="R778">
        <v>2</v>
      </c>
      <c r="S778" t="s">
        <v>63</v>
      </c>
      <c r="T778">
        <v>1</v>
      </c>
      <c r="U778">
        <v>0</v>
      </c>
      <c r="V778">
        <v>0</v>
      </c>
      <c r="W778">
        <v>0</v>
      </c>
      <c r="X778" t="s">
        <v>58</v>
      </c>
    </row>
    <row r="779" customHeight="1" spans="1:24">
      <c r="A779" t="s">
        <v>842</v>
      </c>
      <c r="B779">
        <v>18</v>
      </c>
      <c r="C779">
        <v>20</v>
      </c>
      <c r="D779" t="s">
        <v>60</v>
      </c>
      <c r="E779" t="s">
        <v>69</v>
      </c>
      <c r="F779" t="s">
        <v>58</v>
      </c>
      <c r="G779">
        <v>623</v>
      </c>
      <c r="H779">
        <v>24.51</v>
      </c>
      <c r="I779">
        <v>32</v>
      </c>
      <c r="J779">
        <v>912.3</v>
      </c>
      <c r="K779">
        <v>1</v>
      </c>
      <c r="L779" t="s">
        <v>56</v>
      </c>
      <c r="M779">
        <v>1</v>
      </c>
      <c r="N779">
        <v>5</v>
      </c>
      <c r="O779">
        <v>46.2</v>
      </c>
      <c r="P779">
        <v>1</v>
      </c>
      <c r="Q779">
        <v>2</v>
      </c>
      <c r="R779">
        <v>1</v>
      </c>
      <c r="S779" t="s">
        <v>57</v>
      </c>
      <c r="T779">
        <v>1</v>
      </c>
      <c r="U779">
        <v>1</v>
      </c>
      <c r="V779">
        <v>0</v>
      </c>
      <c r="W779">
        <v>0</v>
      </c>
      <c r="X779" t="s">
        <v>58</v>
      </c>
    </row>
    <row r="780" customHeight="1" spans="1:24">
      <c r="A780" t="s">
        <v>843</v>
      </c>
      <c r="B780">
        <v>18</v>
      </c>
      <c r="C780">
        <v>4</v>
      </c>
      <c r="D780" t="s">
        <v>60</v>
      </c>
      <c r="E780" t="s">
        <v>65</v>
      </c>
      <c r="F780" t="s">
        <v>58</v>
      </c>
      <c r="G780">
        <v>353</v>
      </c>
      <c r="H780">
        <v>17.34</v>
      </c>
      <c r="I780">
        <v>77</v>
      </c>
      <c r="J780">
        <v>804.25</v>
      </c>
      <c r="K780">
        <v>1</v>
      </c>
      <c r="L780" t="s">
        <v>56</v>
      </c>
      <c r="M780">
        <v>1</v>
      </c>
      <c r="N780">
        <v>1</v>
      </c>
      <c r="O780">
        <v>16.1</v>
      </c>
      <c r="P780">
        <v>1</v>
      </c>
      <c r="Q780">
        <v>1</v>
      </c>
      <c r="R780">
        <v>1</v>
      </c>
      <c r="S780" t="s">
        <v>66</v>
      </c>
      <c r="T780">
        <v>1</v>
      </c>
      <c r="U780">
        <v>1</v>
      </c>
      <c r="V780">
        <v>0</v>
      </c>
      <c r="W780">
        <v>0</v>
      </c>
      <c r="X780" t="s">
        <v>58</v>
      </c>
    </row>
    <row r="781" customHeight="1" spans="1:24">
      <c r="A781" t="s">
        <v>844</v>
      </c>
      <c r="B781">
        <v>38</v>
      </c>
      <c r="C781">
        <v>25</v>
      </c>
      <c r="D781" t="s">
        <v>60</v>
      </c>
      <c r="E781" t="s">
        <v>76</v>
      </c>
      <c r="F781" t="s">
        <v>58</v>
      </c>
      <c r="G781">
        <v>403</v>
      </c>
      <c r="H781">
        <v>23.77</v>
      </c>
      <c r="I781">
        <v>57</v>
      </c>
      <c r="J781">
        <v>1077.1</v>
      </c>
      <c r="K781">
        <v>0</v>
      </c>
      <c r="L781" t="s">
        <v>62</v>
      </c>
      <c r="M781">
        <v>0</v>
      </c>
      <c r="N781">
        <v>1</v>
      </c>
      <c r="O781">
        <v>33.5</v>
      </c>
      <c r="P781">
        <v>1</v>
      </c>
      <c r="Q781">
        <v>0</v>
      </c>
      <c r="R781">
        <v>0</v>
      </c>
      <c r="S781" t="s">
        <v>63</v>
      </c>
      <c r="T781">
        <v>0</v>
      </c>
      <c r="U781">
        <v>0</v>
      </c>
      <c r="V781">
        <v>0</v>
      </c>
      <c r="W781">
        <v>0</v>
      </c>
      <c r="X781" t="s">
        <v>58</v>
      </c>
    </row>
    <row r="782" customHeight="1" spans="1:24">
      <c r="A782" t="s">
        <v>845</v>
      </c>
      <c r="B782">
        <v>31</v>
      </c>
      <c r="C782">
        <v>54</v>
      </c>
      <c r="D782" t="s">
        <v>60</v>
      </c>
      <c r="E782" t="s">
        <v>69</v>
      </c>
      <c r="F782" t="s">
        <v>55</v>
      </c>
      <c r="G782">
        <v>514</v>
      </c>
      <c r="H782">
        <v>16.17</v>
      </c>
      <c r="I782">
        <v>244</v>
      </c>
      <c r="J782">
        <v>630.75</v>
      </c>
      <c r="K782">
        <v>1</v>
      </c>
      <c r="L782" t="s">
        <v>56</v>
      </c>
      <c r="M782">
        <v>0</v>
      </c>
      <c r="N782">
        <v>1</v>
      </c>
      <c r="O782">
        <v>38.4</v>
      </c>
      <c r="P782">
        <v>1</v>
      </c>
      <c r="Q782">
        <v>0</v>
      </c>
      <c r="R782">
        <v>0</v>
      </c>
      <c r="S782" t="s">
        <v>63</v>
      </c>
      <c r="T782">
        <v>0</v>
      </c>
      <c r="U782">
        <v>1</v>
      </c>
      <c r="V782">
        <v>0</v>
      </c>
      <c r="W782">
        <v>1</v>
      </c>
      <c r="X782" t="s">
        <v>55</v>
      </c>
    </row>
    <row r="783" customHeight="1" spans="1:24">
      <c r="A783" t="s">
        <v>846</v>
      </c>
      <c r="B783">
        <v>57</v>
      </c>
      <c r="C783">
        <v>8</v>
      </c>
      <c r="D783" t="s">
        <v>53</v>
      </c>
      <c r="E783" t="s">
        <v>54</v>
      </c>
      <c r="F783" t="s">
        <v>58</v>
      </c>
      <c r="G783">
        <v>404</v>
      </c>
      <c r="H783">
        <v>10.13</v>
      </c>
      <c r="I783">
        <v>183</v>
      </c>
      <c r="J783">
        <v>467.86</v>
      </c>
      <c r="K783">
        <v>0</v>
      </c>
      <c r="L783" t="s">
        <v>62</v>
      </c>
      <c r="M783">
        <v>0</v>
      </c>
      <c r="N783">
        <v>0</v>
      </c>
      <c r="O783">
        <v>23.7</v>
      </c>
      <c r="P783">
        <v>0</v>
      </c>
      <c r="Q783">
        <v>0</v>
      </c>
      <c r="R783">
        <v>0</v>
      </c>
      <c r="S783" t="s">
        <v>57</v>
      </c>
      <c r="T783">
        <v>0</v>
      </c>
      <c r="U783">
        <v>0</v>
      </c>
      <c r="V783">
        <v>0</v>
      </c>
      <c r="W783">
        <v>0</v>
      </c>
      <c r="X783" t="s">
        <v>58</v>
      </c>
    </row>
    <row r="784" customHeight="1" spans="1:24">
      <c r="A784" t="s">
        <v>847</v>
      </c>
      <c r="B784">
        <v>20</v>
      </c>
      <c r="C784">
        <v>6</v>
      </c>
      <c r="D784" t="s">
        <v>60</v>
      </c>
      <c r="E784" t="s">
        <v>65</v>
      </c>
      <c r="F784" t="s">
        <v>55</v>
      </c>
      <c r="G784">
        <v>355</v>
      </c>
      <c r="H784">
        <v>19.14</v>
      </c>
      <c r="I784">
        <v>91</v>
      </c>
      <c r="J784">
        <v>791.88</v>
      </c>
      <c r="K784">
        <v>1</v>
      </c>
      <c r="L784" t="s">
        <v>56</v>
      </c>
      <c r="M784">
        <v>3</v>
      </c>
      <c r="N784">
        <v>5</v>
      </c>
      <c r="O784">
        <v>25.4</v>
      </c>
      <c r="P784">
        <v>1</v>
      </c>
      <c r="Q784">
        <v>0</v>
      </c>
      <c r="R784">
        <v>0</v>
      </c>
      <c r="S784" t="s">
        <v>66</v>
      </c>
      <c r="T784">
        <v>1</v>
      </c>
      <c r="U784">
        <v>1</v>
      </c>
      <c r="V784">
        <v>0</v>
      </c>
      <c r="W784">
        <v>1</v>
      </c>
      <c r="X784" t="s">
        <v>55</v>
      </c>
    </row>
    <row r="785" customHeight="1" spans="1:24">
      <c r="A785" t="s">
        <v>848</v>
      </c>
      <c r="B785">
        <v>63</v>
      </c>
      <c r="C785">
        <v>62</v>
      </c>
      <c r="D785" t="s">
        <v>53</v>
      </c>
      <c r="E785" t="s">
        <v>61</v>
      </c>
      <c r="F785" t="s">
        <v>58</v>
      </c>
      <c r="G785">
        <v>395</v>
      </c>
      <c r="H785">
        <v>5.37</v>
      </c>
      <c r="I785">
        <v>160</v>
      </c>
      <c r="J785">
        <v>385.98</v>
      </c>
      <c r="K785">
        <v>0</v>
      </c>
      <c r="L785" t="s">
        <v>62</v>
      </c>
      <c r="M785">
        <v>3</v>
      </c>
      <c r="N785">
        <v>3</v>
      </c>
      <c r="O785">
        <v>3.4</v>
      </c>
      <c r="P785">
        <v>2</v>
      </c>
      <c r="Q785">
        <v>1</v>
      </c>
      <c r="R785">
        <v>1</v>
      </c>
      <c r="S785" t="s">
        <v>63</v>
      </c>
      <c r="T785">
        <v>1</v>
      </c>
      <c r="U785">
        <v>0</v>
      </c>
      <c r="V785">
        <v>0</v>
      </c>
      <c r="W785">
        <v>0</v>
      </c>
      <c r="X785" t="s">
        <v>58</v>
      </c>
    </row>
    <row r="786" customHeight="1" spans="1:24">
      <c r="A786" t="s">
        <v>849</v>
      </c>
      <c r="B786">
        <v>63</v>
      </c>
      <c r="C786">
        <v>43</v>
      </c>
      <c r="D786" t="s">
        <v>72</v>
      </c>
      <c r="E786" t="s">
        <v>65</v>
      </c>
      <c r="F786" t="s">
        <v>58</v>
      </c>
      <c r="G786">
        <v>534</v>
      </c>
      <c r="H786">
        <v>23.39</v>
      </c>
      <c r="I786">
        <v>25</v>
      </c>
      <c r="J786">
        <v>1108.7</v>
      </c>
      <c r="K786">
        <v>0</v>
      </c>
      <c r="L786" t="s">
        <v>62</v>
      </c>
      <c r="M786">
        <v>1</v>
      </c>
      <c r="N786">
        <v>1</v>
      </c>
      <c r="O786">
        <v>15.4</v>
      </c>
      <c r="P786">
        <v>3</v>
      </c>
      <c r="Q786">
        <v>1</v>
      </c>
      <c r="R786">
        <v>1</v>
      </c>
      <c r="S786" t="s">
        <v>63</v>
      </c>
      <c r="T786">
        <v>1</v>
      </c>
      <c r="U786">
        <v>0</v>
      </c>
      <c r="V786">
        <v>0</v>
      </c>
      <c r="W786">
        <v>0</v>
      </c>
      <c r="X786" t="s">
        <v>58</v>
      </c>
    </row>
    <row r="787" customHeight="1" spans="1:24">
      <c r="A787" t="s">
        <v>850</v>
      </c>
      <c r="B787">
        <v>31</v>
      </c>
      <c r="C787">
        <v>25</v>
      </c>
      <c r="D787" t="s">
        <v>53</v>
      </c>
      <c r="E787" t="s">
        <v>76</v>
      </c>
      <c r="F787" t="s">
        <v>58</v>
      </c>
      <c r="G787">
        <v>301</v>
      </c>
      <c r="H787">
        <v>8.63</v>
      </c>
      <c r="I787">
        <v>73</v>
      </c>
      <c r="J787">
        <v>493.09</v>
      </c>
      <c r="K787">
        <v>1</v>
      </c>
      <c r="L787" t="s">
        <v>56</v>
      </c>
      <c r="M787">
        <v>0</v>
      </c>
      <c r="N787">
        <v>0</v>
      </c>
      <c r="O787">
        <v>34.9</v>
      </c>
      <c r="P787">
        <v>2</v>
      </c>
      <c r="Q787">
        <v>0</v>
      </c>
      <c r="R787">
        <v>1</v>
      </c>
      <c r="S787" t="s">
        <v>63</v>
      </c>
      <c r="T787">
        <v>0</v>
      </c>
      <c r="U787">
        <v>1</v>
      </c>
      <c r="V787">
        <v>0</v>
      </c>
      <c r="W787">
        <v>0</v>
      </c>
      <c r="X787" t="s">
        <v>58</v>
      </c>
    </row>
    <row r="788" customHeight="1" spans="1:24">
      <c r="A788" t="s">
        <v>851</v>
      </c>
      <c r="B788">
        <v>51</v>
      </c>
      <c r="C788">
        <v>55</v>
      </c>
      <c r="D788" t="s">
        <v>53</v>
      </c>
      <c r="E788" t="s">
        <v>76</v>
      </c>
      <c r="F788" t="s">
        <v>55</v>
      </c>
      <c r="G788">
        <v>381</v>
      </c>
      <c r="H788">
        <v>27.18</v>
      </c>
      <c r="I788">
        <v>127</v>
      </c>
      <c r="J788">
        <v>348.31</v>
      </c>
      <c r="K788">
        <v>0</v>
      </c>
      <c r="L788" t="s">
        <v>62</v>
      </c>
      <c r="M788">
        <v>2</v>
      </c>
      <c r="N788">
        <v>3</v>
      </c>
      <c r="O788">
        <v>24.7</v>
      </c>
      <c r="P788">
        <v>0</v>
      </c>
      <c r="Q788">
        <v>1</v>
      </c>
      <c r="R788">
        <v>1</v>
      </c>
      <c r="S788" t="s">
        <v>63</v>
      </c>
      <c r="T788">
        <v>1</v>
      </c>
      <c r="U788">
        <v>0</v>
      </c>
      <c r="V788">
        <v>0</v>
      </c>
      <c r="W788">
        <v>1</v>
      </c>
      <c r="X788" t="s">
        <v>55</v>
      </c>
    </row>
    <row r="789" customHeight="1" spans="1:24">
      <c r="A789" t="s">
        <v>852</v>
      </c>
      <c r="B789">
        <v>56</v>
      </c>
      <c r="C789">
        <v>61</v>
      </c>
      <c r="D789" t="s">
        <v>53</v>
      </c>
      <c r="E789" t="s">
        <v>65</v>
      </c>
      <c r="F789" t="s">
        <v>55</v>
      </c>
      <c r="G789">
        <v>402</v>
      </c>
      <c r="H789">
        <v>14.62</v>
      </c>
      <c r="I789">
        <v>152</v>
      </c>
      <c r="J789">
        <v>418.58</v>
      </c>
      <c r="K789">
        <v>0</v>
      </c>
      <c r="L789" t="s">
        <v>62</v>
      </c>
      <c r="M789">
        <v>0</v>
      </c>
      <c r="N789">
        <v>0</v>
      </c>
      <c r="O789">
        <v>23.7</v>
      </c>
      <c r="P789">
        <v>0</v>
      </c>
      <c r="Q789">
        <v>1</v>
      </c>
      <c r="R789">
        <v>0</v>
      </c>
      <c r="S789" t="s">
        <v>63</v>
      </c>
      <c r="T789">
        <v>0</v>
      </c>
      <c r="U789">
        <v>0</v>
      </c>
      <c r="V789">
        <v>0</v>
      </c>
      <c r="W789">
        <v>1</v>
      </c>
      <c r="X789" t="s">
        <v>58</v>
      </c>
    </row>
    <row r="790" customHeight="1" spans="1:24">
      <c r="A790" t="s">
        <v>853</v>
      </c>
      <c r="B790">
        <v>67</v>
      </c>
      <c r="C790">
        <v>26</v>
      </c>
      <c r="D790" t="s">
        <v>72</v>
      </c>
      <c r="E790" t="s">
        <v>61</v>
      </c>
      <c r="F790" t="s">
        <v>58</v>
      </c>
      <c r="G790">
        <v>530</v>
      </c>
      <c r="H790">
        <v>28.63</v>
      </c>
      <c r="I790">
        <v>113</v>
      </c>
      <c r="J790">
        <v>912.03</v>
      </c>
      <c r="K790">
        <v>0</v>
      </c>
      <c r="L790" t="s">
        <v>62</v>
      </c>
      <c r="M790">
        <v>1</v>
      </c>
      <c r="N790">
        <v>1</v>
      </c>
      <c r="O790">
        <v>25.6</v>
      </c>
      <c r="P790">
        <v>1</v>
      </c>
      <c r="Q790">
        <v>1</v>
      </c>
      <c r="R790">
        <v>0</v>
      </c>
      <c r="S790" t="s">
        <v>63</v>
      </c>
      <c r="T790">
        <v>1</v>
      </c>
      <c r="U790">
        <v>0</v>
      </c>
      <c r="V790">
        <v>0</v>
      </c>
      <c r="W790">
        <v>0</v>
      </c>
      <c r="X790" t="s">
        <v>58</v>
      </c>
    </row>
    <row r="791" customHeight="1" spans="1:24">
      <c r="A791" t="s">
        <v>854</v>
      </c>
      <c r="B791">
        <v>60</v>
      </c>
      <c r="C791">
        <v>41</v>
      </c>
      <c r="D791" t="s">
        <v>53</v>
      </c>
      <c r="E791" t="s">
        <v>54</v>
      </c>
      <c r="F791" t="s">
        <v>58</v>
      </c>
      <c r="G791">
        <v>385</v>
      </c>
      <c r="H791">
        <v>6.77</v>
      </c>
      <c r="I791">
        <v>137</v>
      </c>
      <c r="J791">
        <v>374.73</v>
      </c>
      <c r="K791">
        <v>0</v>
      </c>
      <c r="L791" t="s">
        <v>62</v>
      </c>
      <c r="M791">
        <v>0</v>
      </c>
      <c r="N791">
        <v>1</v>
      </c>
      <c r="O791">
        <v>50.3</v>
      </c>
      <c r="P791">
        <v>2</v>
      </c>
      <c r="Q791">
        <v>0</v>
      </c>
      <c r="R791">
        <v>0</v>
      </c>
      <c r="S791" t="s">
        <v>63</v>
      </c>
      <c r="T791">
        <v>0</v>
      </c>
      <c r="U791">
        <v>0</v>
      </c>
      <c r="V791">
        <v>0</v>
      </c>
      <c r="W791">
        <v>0</v>
      </c>
      <c r="X791" t="s">
        <v>58</v>
      </c>
    </row>
    <row r="792" customHeight="1" spans="1:24">
      <c r="A792" t="s">
        <v>855</v>
      </c>
      <c r="B792">
        <v>73</v>
      </c>
      <c r="C792">
        <v>1</v>
      </c>
      <c r="D792" t="s">
        <v>60</v>
      </c>
      <c r="E792" t="s">
        <v>61</v>
      </c>
      <c r="F792" t="s">
        <v>55</v>
      </c>
      <c r="G792">
        <v>671</v>
      </c>
      <c r="H792">
        <v>11.22</v>
      </c>
      <c r="I792">
        <v>125</v>
      </c>
      <c r="J792">
        <v>890.78</v>
      </c>
      <c r="K792">
        <v>0</v>
      </c>
      <c r="L792" t="s">
        <v>62</v>
      </c>
      <c r="M792">
        <v>2</v>
      </c>
      <c r="N792">
        <v>3</v>
      </c>
      <c r="O792">
        <v>18.8</v>
      </c>
      <c r="P792">
        <v>0</v>
      </c>
      <c r="Q792">
        <v>0</v>
      </c>
      <c r="R792">
        <v>0</v>
      </c>
      <c r="S792" t="s">
        <v>66</v>
      </c>
      <c r="T792">
        <v>1</v>
      </c>
      <c r="U792">
        <v>0</v>
      </c>
      <c r="V792">
        <v>0</v>
      </c>
      <c r="W792">
        <v>1</v>
      </c>
      <c r="X792" t="s">
        <v>58</v>
      </c>
    </row>
    <row r="793" customHeight="1" spans="1:24">
      <c r="A793" t="s">
        <v>856</v>
      </c>
      <c r="B793">
        <v>24</v>
      </c>
      <c r="C793">
        <v>23</v>
      </c>
      <c r="D793" t="s">
        <v>72</v>
      </c>
      <c r="E793" t="s">
        <v>54</v>
      </c>
      <c r="F793" t="s">
        <v>58</v>
      </c>
      <c r="G793">
        <v>377</v>
      </c>
      <c r="H793">
        <v>17.41</v>
      </c>
      <c r="I793">
        <v>109</v>
      </c>
      <c r="J793">
        <v>1056.09</v>
      </c>
      <c r="K793">
        <v>0</v>
      </c>
      <c r="L793" t="s">
        <v>62</v>
      </c>
      <c r="M793">
        <v>1</v>
      </c>
      <c r="N793">
        <v>2</v>
      </c>
      <c r="O793">
        <v>43.3</v>
      </c>
      <c r="P793">
        <v>2</v>
      </c>
      <c r="Q793">
        <v>1</v>
      </c>
      <c r="R793">
        <v>0</v>
      </c>
      <c r="S793" t="s">
        <v>57</v>
      </c>
      <c r="T793">
        <v>1</v>
      </c>
      <c r="U793">
        <v>0</v>
      </c>
      <c r="V793">
        <v>1</v>
      </c>
      <c r="W793">
        <v>0</v>
      </c>
      <c r="X793" t="s">
        <v>58</v>
      </c>
    </row>
    <row r="794" customHeight="1" spans="1:24">
      <c r="A794" t="s">
        <v>857</v>
      </c>
      <c r="B794">
        <v>53</v>
      </c>
      <c r="C794">
        <v>43</v>
      </c>
      <c r="D794" t="s">
        <v>53</v>
      </c>
      <c r="E794" t="s">
        <v>76</v>
      </c>
      <c r="F794" t="s">
        <v>58</v>
      </c>
      <c r="G794">
        <v>364</v>
      </c>
      <c r="H794">
        <v>29.7</v>
      </c>
      <c r="I794">
        <v>99</v>
      </c>
      <c r="J794">
        <v>488.21</v>
      </c>
      <c r="K794">
        <v>0</v>
      </c>
      <c r="L794" t="s">
        <v>62</v>
      </c>
      <c r="M794">
        <v>0</v>
      </c>
      <c r="N794">
        <v>0</v>
      </c>
      <c r="O794">
        <v>25.6</v>
      </c>
      <c r="P794">
        <v>0</v>
      </c>
      <c r="Q794">
        <v>1</v>
      </c>
      <c r="R794">
        <v>0</v>
      </c>
      <c r="S794" t="s">
        <v>63</v>
      </c>
      <c r="T794">
        <v>0</v>
      </c>
      <c r="U794">
        <v>0</v>
      </c>
      <c r="V794">
        <v>0</v>
      </c>
      <c r="W794">
        <v>0</v>
      </c>
      <c r="X794" t="s">
        <v>58</v>
      </c>
    </row>
    <row r="795" customHeight="1" spans="1:24">
      <c r="A795" t="s">
        <v>858</v>
      </c>
      <c r="B795">
        <v>62</v>
      </c>
      <c r="C795">
        <v>15</v>
      </c>
      <c r="D795" t="s">
        <v>72</v>
      </c>
      <c r="E795" t="s">
        <v>61</v>
      </c>
      <c r="F795" t="s">
        <v>58</v>
      </c>
      <c r="G795">
        <v>374</v>
      </c>
      <c r="H795">
        <v>34.67</v>
      </c>
      <c r="I795">
        <v>90</v>
      </c>
      <c r="J795">
        <v>1017.61</v>
      </c>
      <c r="K795">
        <v>0</v>
      </c>
      <c r="L795" t="s">
        <v>62</v>
      </c>
      <c r="M795">
        <v>0</v>
      </c>
      <c r="N795">
        <v>0</v>
      </c>
      <c r="O795">
        <v>23.7</v>
      </c>
      <c r="P795">
        <v>0</v>
      </c>
      <c r="Q795">
        <v>1</v>
      </c>
      <c r="R795">
        <v>1</v>
      </c>
      <c r="S795" t="s">
        <v>57</v>
      </c>
      <c r="T795">
        <v>0</v>
      </c>
      <c r="U795">
        <v>0</v>
      </c>
      <c r="V795">
        <v>0</v>
      </c>
      <c r="W795">
        <v>0</v>
      </c>
      <c r="X795" t="s">
        <v>58</v>
      </c>
    </row>
    <row r="796" customHeight="1" spans="1:24">
      <c r="A796" t="s">
        <v>859</v>
      </c>
      <c r="B796">
        <v>31</v>
      </c>
      <c r="C796">
        <v>72</v>
      </c>
      <c r="D796" t="s">
        <v>53</v>
      </c>
      <c r="E796" t="s">
        <v>61</v>
      </c>
      <c r="F796" t="s">
        <v>58</v>
      </c>
      <c r="G796">
        <v>203</v>
      </c>
      <c r="H796">
        <v>18.41</v>
      </c>
      <c r="I796">
        <v>136</v>
      </c>
      <c r="J796">
        <v>501.89</v>
      </c>
      <c r="K796">
        <v>0</v>
      </c>
      <c r="L796" t="s">
        <v>62</v>
      </c>
      <c r="M796">
        <v>0</v>
      </c>
      <c r="N796">
        <v>0</v>
      </c>
      <c r="O796">
        <v>9.3</v>
      </c>
      <c r="P796">
        <v>1</v>
      </c>
      <c r="Q796">
        <v>0</v>
      </c>
      <c r="R796">
        <v>0</v>
      </c>
      <c r="S796" t="s">
        <v>63</v>
      </c>
      <c r="T796">
        <v>0</v>
      </c>
      <c r="U796">
        <v>0</v>
      </c>
      <c r="V796">
        <v>0</v>
      </c>
      <c r="W796">
        <v>0</v>
      </c>
      <c r="X796" t="s">
        <v>58</v>
      </c>
    </row>
    <row r="797" customHeight="1" spans="1:24">
      <c r="A797" t="s">
        <v>860</v>
      </c>
      <c r="B797">
        <v>30</v>
      </c>
      <c r="C797">
        <v>70</v>
      </c>
      <c r="D797" t="s">
        <v>53</v>
      </c>
      <c r="E797" t="s">
        <v>61</v>
      </c>
      <c r="F797" t="s">
        <v>58</v>
      </c>
      <c r="G797">
        <v>244</v>
      </c>
      <c r="H797">
        <v>36.38</v>
      </c>
      <c r="I797">
        <v>149</v>
      </c>
      <c r="J797">
        <v>513.64</v>
      </c>
      <c r="K797">
        <v>0</v>
      </c>
      <c r="L797" t="s">
        <v>62</v>
      </c>
      <c r="M797">
        <v>0</v>
      </c>
      <c r="N797">
        <v>0</v>
      </c>
      <c r="O797">
        <v>26.2</v>
      </c>
      <c r="P797">
        <v>0</v>
      </c>
      <c r="Q797">
        <v>0</v>
      </c>
      <c r="R797">
        <v>0</v>
      </c>
      <c r="S797" t="s">
        <v>63</v>
      </c>
      <c r="T797">
        <v>0</v>
      </c>
      <c r="U797">
        <v>0</v>
      </c>
      <c r="V797">
        <v>0</v>
      </c>
      <c r="W797">
        <v>0</v>
      </c>
      <c r="X797" t="s">
        <v>58</v>
      </c>
    </row>
    <row r="798" customHeight="1" spans="1:24">
      <c r="A798" t="s">
        <v>861</v>
      </c>
      <c r="B798">
        <v>23</v>
      </c>
      <c r="C798">
        <v>19</v>
      </c>
      <c r="D798" t="s">
        <v>60</v>
      </c>
      <c r="E798" t="s">
        <v>69</v>
      </c>
      <c r="F798" t="s">
        <v>58</v>
      </c>
      <c r="G798">
        <v>320</v>
      </c>
      <c r="H798">
        <v>15.1</v>
      </c>
      <c r="I798">
        <v>134</v>
      </c>
      <c r="J798">
        <v>814.08</v>
      </c>
      <c r="K798">
        <v>0</v>
      </c>
      <c r="L798" t="s">
        <v>62</v>
      </c>
      <c r="M798">
        <v>0</v>
      </c>
      <c r="N798">
        <v>0</v>
      </c>
      <c r="O798">
        <v>19.3</v>
      </c>
      <c r="P798">
        <v>0</v>
      </c>
      <c r="Q798">
        <v>0</v>
      </c>
      <c r="R798">
        <v>0</v>
      </c>
      <c r="S798" t="s">
        <v>57</v>
      </c>
      <c r="T798">
        <v>0</v>
      </c>
      <c r="U798">
        <v>0</v>
      </c>
      <c r="V798">
        <v>0</v>
      </c>
      <c r="W798">
        <v>0</v>
      </c>
      <c r="X798" t="s">
        <v>58</v>
      </c>
    </row>
    <row r="799" customHeight="1" spans="1:24">
      <c r="A799" t="s">
        <v>862</v>
      </c>
      <c r="B799">
        <v>75</v>
      </c>
      <c r="C799">
        <v>29</v>
      </c>
      <c r="D799" t="s">
        <v>72</v>
      </c>
      <c r="E799" t="s">
        <v>69</v>
      </c>
      <c r="F799" t="s">
        <v>58</v>
      </c>
      <c r="G799">
        <v>570</v>
      </c>
      <c r="H799">
        <v>28.99</v>
      </c>
      <c r="I799">
        <v>37</v>
      </c>
      <c r="J799">
        <v>1277.33</v>
      </c>
      <c r="K799">
        <v>1</v>
      </c>
      <c r="L799" t="s">
        <v>56</v>
      </c>
      <c r="M799">
        <v>0</v>
      </c>
      <c r="N799">
        <v>2</v>
      </c>
      <c r="O799">
        <v>25.7</v>
      </c>
      <c r="P799">
        <v>0</v>
      </c>
      <c r="Q799">
        <v>1</v>
      </c>
      <c r="R799">
        <v>0</v>
      </c>
      <c r="S799" t="s">
        <v>63</v>
      </c>
      <c r="T799">
        <v>0</v>
      </c>
      <c r="U799">
        <v>1</v>
      </c>
      <c r="V799">
        <v>0</v>
      </c>
      <c r="W799">
        <v>0</v>
      </c>
      <c r="X799" t="s">
        <v>58</v>
      </c>
    </row>
    <row r="800" customHeight="1" spans="1:24">
      <c r="A800" t="s">
        <v>863</v>
      </c>
      <c r="B800">
        <v>68</v>
      </c>
      <c r="C800">
        <v>14</v>
      </c>
      <c r="D800" t="s">
        <v>53</v>
      </c>
      <c r="E800" t="s">
        <v>61</v>
      </c>
      <c r="F800" t="s">
        <v>58</v>
      </c>
      <c r="G800">
        <v>395</v>
      </c>
      <c r="H800">
        <v>8.58</v>
      </c>
      <c r="I800">
        <v>50</v>
      </c>
      <c r="J800">
        <v>390.31</v>
      </c>
      <c r="K800">
        <v>0</v>
      </c>
      <c r="L800" t="s">
        <v>62</v>
      </c>
      <c r="M800">
        <v>0</v>
      </c>
      <c r="N800">
        <v>1</v>
      </c>
      <c r="O800">
        <v>38.7</v>
      </c>
      <c r="P800">
        <v>1</v>
      </c>
      <c r="Q800">
        <v>0</v>
      </c>
      <c r="R800">
        <v>0</v>
      </c>
      <c r="S800" t="s">
        <v>57</v>
      </c>
      <c r="T800">
        <v>0</v>
      </c>
      <c r="U800">
        <v>0</v>
      </c>
      <c r="V800">
        <v>0</v>
      </c>
      <c r="W800">
        <v>0</v>
      </c>
      <c r="X800" t="s">
        <v>58</v>
      </c>
    </row>
    <row r="801" customHeight="1" spans="1:24">
      <c r="A801" t="s">
        <v>864</v>
      </c>
      <c r="B801">
        <v>25</v>
      </c>
      <c r="C801">
        <v>37</v>
      </c>
      <c r="D801" t="s">
        <v>60</v>
      </c>
      <c r="E801" t="s">
        <v>69</v>
      </c>
      <c r="F801" t="s">
        <v>58</v>
      </c>
      <c r="G801">
        <v>327</v>
      </c>
      <c r="H801">
        <v>22.2</v>
      </c>
      <c r="I801">
        <v>148</v>
      </c>
      <c r="J801">
        <v>645.14</v>
      </c>
      <c r="K801">
        <v>1</v>
      </c>
      <c r="L801" t="s">
        <v>56</v>
      </c>
      <c r="M801">
        <v>1</v>
      </c>
      <c r="N801">
        <v>2</v>
      </c>
      <c r="O801">
        <v>28.5</v>
      </c>
      <c r="P801">
        <v>2</v>
      </c>
      <c r="Q801">
        <v>2</v>
      </c>
      <c r="R801">
        <v>0</v>
      </c>
      <c r="S801" t="s">
        <v>63</v>
      </c>
      <c r="T801">
        <v>1</v>
      </c>
      <c r="U801">
        <v>1</v>
      </c>
      <c r="V801">
        <v>0</v>
      </c>
      <c r="W801">
        <v>0</v>
      </c>
      <c r="X801" t="s">
        <v>58</v>
      </c>
    </row>
    <row r="802" customHeight="1" spans="1:24">
      <c r="A802" t="s">
        <v>865</v>
      </c>
      <c r="B802">
        <v>32</v>
      </c>
      <c r="C802">
        <v>9</v>
      </c>
      <c r="D802" t="s">
        <v>53</v>
      </c>
      <c r="E802" t="s">
        <v>69</v>
      </c>
      <c r="F802" t="s">
        <v>58</v>
      </c>
      <c r="G802">
        <v>584</v>
      </c>
      <c r="H802">
        <v>0.5</v>
      </c>
      <c r="I802">
        <v>223</v>
      </c>
      <c r="J802">
        <v>1643.8575</v>
      </c>
      <c r="K802">
        <v>0</v>
      </c>
      <c r="L802" t="s">
        <v>62</v>
      </c>
      <c r="M802">
        <v>1</v>
      </c>
      <c r="N802">
        <v>2</v>
      </c>
      <c r="O802">
        <v>38.6</v>
      </c>
      <c r="P802">
        <v>2</v>
      </c>
      <c r="Q802">
        <v>1</v>
      </c>
      <c r="R802">
        <v>0</v>
      </c>
      <c r="S802" t="s">
        <v>57</v>
      </c>
      <c r="T802">
        <v>1</v>
      </c>
      <c r="U802">
        <v>0</v>
      </c>
      <c r="V802">
        <v>1</v>
      </c>
      <c r="W802">
        <v>0</v>
      </c>
      <c r="X802" t="s">
        <v>58</v>
      </c>
    </row>
    <row r="803" customHeight="1" spans="1:24">
      <c r="A803" t="s">
        <v>866</v>
      </c>
      <c r="B803">
        <v>44</v>
      </c>
      <c r="C803">
        <v>29</v>
      </c>
      <c r="D803" t="s">
        <v>60</v>
      </c>
      <c r="E803" t="s">
        <v>54</v>
      </c>
      <c r="F803" t="s">
        <v>58</v>
      </c>
      <c r="G803">
        <v>633</v>
      </c>
      <c r="H803">
        <v>6.78</v>
      </c>
      <c r="I803">
        <v>131</v>
      </c>
      <c r="J803">
        <v>772.21</v>
      </c>
      <c r="K803">
        <v>0</v>
      </c>
      <c r="L803" t="s">
        <v>62</v>
      </c>
      <c r="M803">
        <v>2</v>
      </c>
      <c r="N803">
        <v>2</v>
      </c>
      <c r="O803">
        <v>16</v>
      </c>
      <c r="P803">
        <v>1</v>
      </c>
      <c r="Q803">
        <v>1</v>
      </c>
      <c r="R803">
        <v>0</v>
      </c>
      <c r="S803" t="s">
        <v>63</v>
      </c>
      <c r="T803">
        <v>1</v>
      </c>
      <c r="U803">
        <v>0</v>
      </c>
      <c r="V803">
        <v>0</v>
      </c>
      <c r="W803">
        <v>0</v>
      </c>
      <c r="X803" t="s">
        <v>58</v>
      </c>
    </row>
    <row r="804" customHeight="1" spans="1:24">
      <c r="A804" t="s">
        <v>867</v>
      </c>
      <c r="B804">
        <v>69</v>
      </c>
      <c r="C804">
        <v>40</v>
      </c>
      <c r="D804" t="s">
        <v>60</v>
      </c>
      <c r="E804" t="s">
        <v>54</v>
      </c>
      <c r="F804" t="s">
        <v>55</v>
      </c>
      <c r="G804">
        <v>588</v>
      </c>
      <c r="H804">
        <v>22.67</v>
      </c>
      <c r="I804">
        <v>91</v>
      </c>
      <c r="J804">
        <v>747.3</v>
      </c>
      <c r="K804">
        <v>1</v>
      </c>
      <c r="L804" t="s">
        <v>56</v>
      </c>
      <c r="M804">
        <v>0</v>
      </c>
      <c r="N804">
        <v>2</v>
      </c>
      <c r="O804">
        <v>14.1</v>
      </c>
      <c r="P804">
        <v>2</v>
      </c>
      <c r="Q804">
        <v>0</v>
      </c>
      <c r="R804">
        <v>0</v>
      </c>
      <c r="S804" t="s">
        <v>63</v>
      </c>
      <c r="T804">
        <v>0</v>
      </c>
      <c r="U804">
        <v>1</v>
      </c>
      <c r="V804">
        <v>0</v>
      </c>
      <c r="W804">
        <v>1</v>
      </c>
      <c r="X804" t="s">
        <v>55</v>
      </c>
    </row>
    <row r="805" customHeight="1" spans="1:24">
      <c r="A805" t="s">
        <v>868</v>
      </c>
      <c r="B805">
        <v>65</v>
      </c>
      <c r="C805">
        <v>45</v>
      </c>
      <c r="D805" t="s">
        <v>60</v>
      </c>
      <c r="E805" t="s">
        <v>54</v>
      </c>
      <c r="F805" t="s">
        <v>58</v>
      </c>
      <c r="G805">
        <v>272</v>
      </c>
      <c r="H805">
        <v>4.88</v>
      </c>
      <c r="I805">
        <v>136</v>
      </c>
      <c r="J805">
        <v>771.53</v>
      </c>
      <c r="K805">
        <v>0</v>
      </c>
      <c r="L805" t="s">
        <v>62</v>
      </c>
      <c r="M805">
        <v>1</v>
      </c>
      <c r="N805">
        <v>1</v>
      </c>
      <c r="O805">
        <v>24.2</v>
      </c>
      <c r="P805">
        <v>1</v>
      </c>
      <c r="Q805">
        <v>1</v>
      </c>
      <c r="R805">
        <v>1</v>
      </c>
      <c r="S805" t="s">
        <v>63</v>
      </c>
      <c r="T805">
        <v>1</v>
      </c>
      <c r="U805">
        <v>0</v>
      </c>
      <c r="V805">
        <v>1</v>
      </c>
      <c r="W805">
        <v>0</v>
      </c>
      <c r="X805" t="s">
        <v>58</v>
      </c>
    </row>
    <row r="806" customHeight="1" spans="1:24">
      <c r="A806" t="s">
        <v>869</v>
      </c>
      <c r="B806">
        <v>68</v>
      </c>
      <c r="C806">
        <v>43</v>
      </c>
      <c r="D806" t="s">
        <v>60</v>
      </c>
      <c r="E806" t="s">
        <v>61</v>
      </c>
      <c r="F806" t="s">
        <v>58</v>
      </c>
      <c r="G806">
        <v>326</v>
      </c>
      <c r="H806">
        <v>22.27</v>
      </c>
      <c r="I806">
        <v>40</v>
      </c>
      <c r="J806">
        <v>800.08</v>
      </c>
      <c r="K806">
        <v>0</v>
      </c>
      <c r="L806" t="s">
        <v>62</v>
      </c>
      <c r="M806">
        <v>0</v>
      </c>
      <c r="N806">
        <v>0</v>
      </c>
      <c r="O806">
        <v>23.5</v>
      </c>
      <c r="P806">
        <v>0</v>
      </c>
      <c r="Q806">
        <v>1</v>
      </c>
      <c r="R806">
        <v>1</v>
      </c>
      <c r="S806" t="s">
        <v>63</v>
      </c>
      <c r="T806">
        <v>0</v>
      </c>
      <c r="U806">
        <v>0</v>
      </c>
      <c r="V806">
        <v>0</v>
      </c>
      <c r="W806">
        <v>0</v>
      </c>
      <c r="X806" t="s">
        <v>58</v>
      </c>
    </row>
    <row r="807" customHeight="1" spans="1:24">
      <c r="A807" t="s">
        <v>870</v>
      </c>
      <c r="B807">
        <v>66</v>
      </c>
      <c r="C807">
        <v>16</v>
      </c>
      <c r="D807" t="s">
        <v>53</v>
      </c>
      <c r="E807" t="s">
        <v>65</v>
      </c>
      <c r="F807" t="s">
        <v>58</v>
      </c>
      <c r="G807">
        <v>672</v>
      </c>
      <c r="H807">
        <v>27.06</v>
      </c>
      <c r="I807">
        <v>212</v>
      </c>
      <c r="J807">
        <v>511.06</v>
      </c>
      <c r="K807">
        <v>0</v>
      </c>
      <c r="L807" t="s">
        <v>62</v>
      </c>
      <c r="M807">
        <v>0</v>
      </c>
      <c r="N807">
        <v>1</v>
      </c>
      <c r="O807">
        <v>21.8</v>
      </c>
      <c r="P807">
        <v>4</v>
      </c>
      <c r="Q807">
        <v>0</v>
      </c>
      <c r="R807">
        <v>0</v>
      </c>
      <c r="S807" t="s">
        <v>57</v>
      </c>
      <c r="T807">
        <v>0</v>
      </c>
      <c r="U807">
        <v>0</v>
      </c>
      <c r="V807">
        <v>0</v>
      </c>
      <c r="W807">
        <v>0</v>
      </c>
      <c r="X807" t="s">
        <v>58</v>
      </c>
    </row>
    <row r="808" customHeight="1" spans="1:24">
      <c r="A808" t="s">
        <v>871</v>
      </c>
      <c r="B808">
        <v>54</v>
      </c>
      <c r="C808">
        <v>58</v>
      </c>
      <c r="D808" t="s">
        <v>60</v>
      </c>
      <c r="E808" t="s">
        <v>76</v>
      </c>
      <c r="F808" t="s">
        <v>58</v>
      </c>
      <c r="G808">
        <v>436</v>
      </c>
      <c r="H808">
        <v>12.99</v>
      </c>
      <c r="I808">
        <v>133</v>
      </c>
      <c r="J808">
        <v>896.57</v>
      </c>
      <c r="K808">
        <v>1</v>
      </c>
      <c r="L808" t="s">
        <v>56</v>
      </c>
      <c r="M808">
        <v>1</v>
      </c>
      <c r="N808">
        <v>1</v>
      </c>
      <c r="O808">
        <v>12.5</v>
      </c>
      <c r="P808">
        <v>2</v>
      </c>
      <c r="Q808">
        <v>1</v>
      </c>
      <c r="R808">
        <v>0</v>
      </c>
      <c r="S808" t="s">
        <v>63</v>
      </c>
      <c r="T808">
        <v>1</v>
      </c>
      <c r="U808">
        <v>1</v>
      </c>
      <c r="V808">
        <v>0</v>
      </c>
      <c r="W808">
        <v>0</v>
      </c>
      <c r="X808" t="s">
        <v>58</v>
      </c>
    </row>
    <row r="809" customHeight="1" spans="1:24">
      <c r="A809" t="s">
        <v>872</v>
      </c>
      <c r="B809">
        <v>34</v>
      </c>
      <c r="C809">
        <v>50</v>
      </c>
      <c r="D809" t="s">
        <v>60</v>
      </c>
      <c r="E809" t="s">
        <v>69</v>
      </c>
      <c r="F809" t="s">
        <v>58</v>
      </c>
      <c r="G809">
        <v>360</v>
      </c>
      <c r="H809">
        <v>8.31</v>
      </c>
      <c r="I809">
        <v>73</v>
      </c>
      <c r="J809">
        <v>723.23</v>
      </c>
      <c r="K809">
        <v>0</v>
      </c>
      <c r="L809" t="s">
        <v>62</v>
      </c>
      <c r="M809">
        <v>0</v>
      </c>
      <c r="N809">
        <v>0</v>
      </c>
      <c r="O809">
        <v>38.4</v>
      </c>
      <c r="P809">
        <v>2</v>
      </c>
      <c r="Q809">
        <v>2</v>
      </c>
      <c r="R809">
        <v>1</v>
      </c>
      <c r="S809" t="s">
        <v>63</v>
      </c>
      <c r="T809">
        <v>0</v>
      </c>
      <c r="U809">
        <v>0</v>
      </c>
      <c r="V809">
        <v>0</v>
      </c>
      <c r="W809">
        <v>0</v>
      </c>
      <c r="X809" t="s">
        <v>58</v>
      </c>
    </row>
    <row r="810" customHeight="1" spans="1:24">
      <c r="A810" t="s">
        <v>873</v>
      </c>
      <c r="B810">
        <v>53</v>
      </c>
      <c r="C810">
        <v>55</v>
      </c>
      <c r="D810" t="s">
        <v>60</v>
      </c>
      <c r="E810" t="s">
        <v>69</v>
      </c>
      <c r="F810" t="s">
        <v>58</v>
      </c>
      <c r="G810">
        <v>508</v>
      </c>
      <c r="H810">
        <v>13.26</v>
      </c>
      <c r="I810">
        <v>108</v>
      </c>
      <c r="J810">
        <v>706.66</v>
      </c>
      <c r="K810">
        <v>0</v>
      </c>
      <c r="L810" t="s">
        <v>62</v>
      </c>
      <c r="M810">
        <v>0</v>
      </c>
      <c r="N810">
        <v>2</v>
      </c>
      <c r="O810">
        <v>19.6</v>
      </c>
      <c r="P810">
        <v>3</v>
      </c>
      <c r="Q810">
        <v>0</v>
      </c>
      <c r="R810">
        <v>0</v>
      </c>
      <c r="S810" t="s">
        <v>63</v>
      </c>
      <c r="T810">
        <v>0</v>
      </c>
      <c r="U810">
        <v>0</v>
      </c>
      <c r="V810">
        <v>0</v>
      </c>
      <c r="W810">
        <v>0</v>
      </c>
      <c r="X810" t="s">
        <v>58</v>
      </c>
    </row>
    <row r="811" customHeight="1" spans="1:24">
      <c r="A811" t="s">
        <v>874</v>
      </c>
      <c r="B811">
        <v>46</v>
      </c>
      <c r="C811">
        <v>34</v>
      </c>
      <c r="D811" t="s">
        <v>53</v>
      </c>
      <c r="E811" t="s">
        <v>54</v>
      </c>
      <c r="F811" t="s">
        <v>58</v>
      </c>
      <c r="G811">
        <v>551</v>
      </c>
      <c r="H811">
        <v>8.34</v>
      </c>
      <c r="I811">
        <v>83</v>
      </c>
      <c r="J811">
        <v>351.64</v>
      </c>
      <c r="K811">
        <v>0</v>
      </c>
      <c r="L811" t="s">
        <v>62</v>
      </c>
      <c r="M811">
        <v>1</v>
      </c>
      <c r="N811">
        <v>1</v>
      </c>
      <c r="O811">
        <v>41.1</v>
      </c>
      <c r="P811">
        <v>2</v>
      </c>
      <c r="Q811">
        <v>0</v>
      </c>
      <c r="R811">
        <v>1</v>
      </c>
      <c r="S811" t="s">
        <v>63</v>
      </c>
      <c r="T811">
        <v>1</v>
      </c>
      <c r="U811">
        <v>0</v>
      </c>
      <c r="V811">
        <v>0</v>
      </c>
      <c r="W811">
        <v>0</v>
      </c>
      <c r="X811" t="s">
        <v>58</v>
      </c>
    </row>
    <row r="812" customHeight="1" spans="1:24">
      <c r="A812" t="s">
        <v>875</v>
      </c>
      <c r="B812">
        <v>73</v>
      </c>
      <c r="C812">
        <v>65</v>
      </c>
      <c r="D812" t="s">
        <v>60</v>
      </c>
      <c r="E812" t="s">
        <v>69</v>
      </c>
      <c r="F812" t="s">
        <v>55</v>
      </c>
      <c r="G812">
        <v>314</v>
      </c>
      <c r="H812">
        <v>16.99</v>
      </c>
      <c r="I812">
        <v>212</v>
      </c>
      <c r="J812">
        <v>566.35</v>
      </c>
      <c r="K812">
        <v>3</v>
      </c>
      <c r="L812" t="s">
        <v>56</v>
      </c>
      <c r="M812">
        <v>0</v>
      </c>
      <c r="N812">
        <v>0</v>
      </c>
      <c r="O812">
        <v>23.7</v>
      </c>
      <c r="P812">
        <v>5</v>
      </c>
      <c r="Q812">
        <v>0</v>
      </c>
      <c r="R812">
        <v>0</v>
      </c>
      <c r="S812" t="s">
        <v>63</v>
      </c>
      <c r="T812">
        <v>0</v>
      </c>
      <c r="U812">
        <v>1</v>
      </c>
      <c r="V812">
        <v>0</v>
      </c>
      <c r="W812">
        <v>1</v>
      </c>
      <c r="X812" t="s">
        <v>58</v>
      </c>
    </row>
    <row r="813" customHeight="1" spans="1:24">
      <c r="A813" t="s">
        <v>876</v>
      </c>
      <c r="B813">
        <v>44</v>
      </c>
      <c r="C813">
        <v>29</v>
      </c>
      <c r="D813" t="s">
        <v>60</v>
      </c>
      <c r="E813" t="s">
        <v>76</v>
      </c>
      <c r="F813" t="s">
        <v>58</v>
      </c>
      <c r="G813">
        <v>433</v>
      </c>
      <c r="H813">
        <v>19.02</v>
      </c>
      <c r="I813">
        <v>106</v>
      </c>
      <c r="J813">
        <v>670.95</v>
      </c>
      <c r="K813">
        <v>0</v>
      </c>
      <c r="L813" t="s">
        <v>62</v>
      </c>
      <c r="M813">
        <v>0</v>
      </c>
      <c r="N813">
        <v>0</v>
      </c>
      <c r="O813">
        <v>31.8</v>
      </c>
      <c r="P813">
        <v>2</v>
      </c>
      <c r="Q813">
        <v>0</v>
      </c>
      <c r="R813">
        <v>0</v>
      </c>
      <c r="S813" t="s">
        <v>63</v>
      </c>
      <c r="T813">
        <v>0</v>
      </c>
      <c r="U813">
        <v>0</v>
      </c>
      <c r="V813">
        <v>0</v>
      </c>
      <c r="W813">
        <v>0</v>
      </c>
      <c r="X813" t="s">
        <v>58</v>
      </c>
    </row>
    <row r="814" customHeight="1" spans="1:24">
      <c r="A814" t="s">
        <v>877</v>
      </c>
      <c r="B814">
        <v>61</v>
      </c>
      <c r="C814">
        <v>59</v>
      </c>
      <c r="D814" t="s">
        <v>53</v>
      </c>
      <c r="E814" t="s">
        <v>65</v>
      </c>
      <c r="F814" t="s">
        <v>58</v>
      </c>
      <c r="G814">
        <v>539</v>
      </c>
      <c r="H814">
        <v>14.94</v>
      </c>
      <c r="I814">
        <v>131</v>
      </c>
      <c r="J814">
        <v>473.94</v>
      </c>
      <c r="K814">
        <v>0</v>
      </c>
      <c r="L814" t="s">
        <v>62</v>
      </c>
      <c r="M814">
        <v>2</v>
      </c>
      <c r="N814">
        <v>2</v>
      </c>
      <c r="O814">
        <v>30.7</v>
      </c>
      <c r="P814">
        <v>0</v>
      </c>
      <c r="Q814">
        <v>0</v>
      </c>
      <c r="R814">
        <v>0</v>
      </c>
      <c r="S814" t="s">
        <v>63</v>
      </c>
      <c r="T814">
        <v>1</v>
      </c>
      <c r="U814">
        <v>0</v>
      </c>
      <c r="V814">
        <v>0</v>
      </c>
      <c r="W814">
        <v>0</v>
      </c>
      <c r="X814" t="s">
        <v>58</v>
      </c>
    </row>
    <row r="815" customHeight="1" spans="1:24">
      <c r="A815" t="s">
        <v>878</v>
      </c>
      <c r="B815">
        <v>28</v>
      </c>
      <c r="C815">
        <v>15</v>
      </c>
      <c r="D815" t="s">
        <v>53</v>
      </c>
      <c r="E815" t="s">
        <v>117</v>
      </c>
      <c r="F815" t="s">
        <v>58</v>
      </c>
      <c r="G815">
        <v>226</v>
      </c>
      <c r="H815">
        <v>34.74</v>
      </c>
      <c r="I815">
        <v>160</v>
      </c>
      <c r="J815">
        <v>404.68</v>
      </c>
      <c r="K815">
        <v>0</v>
      </c>
      <c r="L815" t="s">
        <v>62</v>
      </c>
      <c r="M815">
        <v>0</v>
      </c>
      <c r="N815">
        <v>0</v>
      </c>
      <c r="O815">
        <v>14.1</v>
      </c>
      <c r="P815">
        <v>0</v>
      </c>
      <c r="Q815">
        <v>1</v>
      </c>
      <c r="R815">
        <v>1</v>
      </c>
      <c r="S815" t="s">
        <v>57</v>
      </c>
      <c r="T815">
        <v>0</v>
      </c>
      <c r="U815">
        <v>0</v>
      </c>
      <c r="V815">
        <v>0</v>
      </c>
      <c r="W815">
        <v>0</v>
      </c>
      <c r="X815" t="s">
        <v>58</v>
      </c>
    </row>
    <row r="816" customHeight="1" spans="1:24">
      <c r="A816" t="s">
        <v>879</v>
      </c>
      <c r="B816">
        <v>57</v>
      </c>
      <c r="C816">
        <v>18</v>
      </c>
      <c r="D816" t="s">
        <v>60</v>
      </c>
      <c r="E816" t="s">
        <v>69</v>
      </c>
      <c r="F816" t="s">
        <v>58</v>
      </c>
      <c r="G816">
        <v>402</v>
      </c>
      <c r="H816">
        <v>10.81</v>
      </c>
      <c r="I816">
        <v>68</v>
      </c>
      <c r="J816">
        <v>861.76</v>
      </c>
      <c r="K816">
        <v>1</v>
      </c>
      <c r="L816" t="s">
        <v>56</v>
      </c>
      <c r="M816">
        <v>0</v>
      </c>
      <c r="N816">
        <v>1</v>
      </c>
      <c r="O816">
        <v>28.4</v>
      </c>
      <c r="P816">
        <v>1</v>
      </c>
      <c r="Q816">
        <v>1</v>
      </c>
      <c r="R816">
        <v>0</v>
      </c>
      <c r="S816" t="s">
        <v>57</v>
      </c>
      <c r="T816">
        <v>0</v>
      </c>
      <c r="U816">
        <v>1</v>
      </c>
      <c r="V816">
        <v>0</v>
      </c>
      <c r="W816">
        <v>0</v>
      </c>
      <c r="X816" t="s">
        <v>58</v>
      </c>
    </row>
    <row r="817" customHeight="1" spans="1:24">
      <c r="A817" t="s">
        <v>880</v>
      </c>
      <c r="B817">
        <v>44</v>
      </c>
      <c r="C817">
        <v>38</v>
      </c>
      <c r="D817" t="s">
        <v>60</v>
      </c>
      <c r="E817" t="s">
        <v>65</v>
      </c>
      <c r="F817" t="s">
        <v>58</v>
      </c>
      <c r="G817">
        <v>233</v>
      </c>
      <c r="H817">
        <v>31.91</v>
      </c>
      <c r="I817">
        <v>134</v>
      </c>
      <c r="J817">
        <v>901.11</v>
      </c>
      <c r="K817">
        <v>0</v>
      </c>
      <c r="L817" t="s">
        <v>62</v>
      </c>
      <c r="M817">
        <v>0</v>
      </c>
      <c r="N817">
        <v>0</v>
      </c>
      <c r="O817">
        <v>47.1</v>
      </c>
      <c r="P817">
        <v>0</v>
      </c>
      <c r="Q817">
        <v>0</v>
      </c>
      <c r="R817">
        <v>0</v>
      </c>
      <c r="S817" t="s">
        <v>63</v>
      </c>
      <c r="T817">
        <v>0</v>
      </c>
      <c r="U817">
        <v>0</v>
      </c>
      <c r="V817">
        <v>0</v>
      </c>
      <c r="W817">
        <v>0</v>
      </c>
      <c r="X817" t="s">
        <v>58</v>
      </c>
    </row>
    <row r="818" customHeight="1" spans="1:24">
      <c r="A818" t="s">
        <v>881</v>
      </c>
      <c r="B818">
        <v>43</v>
      </c>
      <c r="C818">
        <v>41</v>
      </c>
      <c r="D818" t="s">
        <v>53</v>
      </c>
      <c r="E818" t="s">
        <v>76</v>
      </c>
      <c r="F818" t="s">
        <v>55</v>
      </c>
      <c r="G818">
        <v>252</v>
      </c>
      <c r="H818">
        <v>7.59</v>
      </c>
      <c r="I818">
        <v>139</v>
      </c>
      <c r="J818">
        <v>426.38</v>
      </c>
      <c r="K818">
        <v>0</v>
      </c>
      <c r="L818" t="s">
        <v>62</v>
      </c>
      <c r="M818">
        <v>0</v>
      </c>
      <c r="N818">
        <v>1</v>
      </c>
      <c r="O818">
        <v>27</v>
      </c>
      <c r="P818">
        <v>0</v>
      </c>
      <c r="Q818">
        <v>0</v>
      </c>
      <c r="R818">
        <v>1</v>
      </c>
      <c r="S818" t="s">
        <v>63</v>
      </c>
      <c r="T818">
        <v>0</v>
      </c>
      <c r="U818">
        <v>0</v>
      </c>
      <c r="V818">
        <v>0</v>
      </c>
      <c r="W818">
        <v>1</v>
      </c>
      <c r="X818" t="s">
        <v>55</v>
      </c>
    </row>
    <row r="819" customHeight="1" spans="1:24">
      <c r="A819" t="s">
        <v>882</v>
      </c>
      <c r="B819">
        <v>61</v>
      </c>
      <c r="C819">
        <v>54</v>
      </c>
      <c r="D819" t="s">
        <v>72</v>
      </c>
      <c r="E819" t="s">
        <v>69</v>
      </c>
      <c r="F819" t="s">
        <v>55</v>
      </c>
      <c r="G819">
        <v>316</v>
      </c>
      <c r="H819">
        <v>18.73</v>
      </c>
      <c r="I819">
        <v>11</v>
      </c>
      <c r="J819">
        <v>1228.48</v>
      </c>
      <c r="K819">
        <v>1</v>
      </c>
      <c r="L819" t="s">
        <v>56</v>
      </c>
      <c r="M819">
        <v>0</v>
      </c>
      <c r="N819">
        <v>1</v>
      </c>
      <c r="O819">
        <v>34.8</v>
      </c>
      <c r="P819">
        <v>5</v>
      </c>
      <c r="Q819">
        <v>0</v>
      </c>
      <c r="R819">
        <v>0</v>
      </c>
      <c r="S819" t="s">
        <v>63</v>
      </c>
      <c r="T819">
        <v>0</v>
      </c>
      <c r="U819">
        <v>1</v>
      </c>
      <c r="V819">
        <v>0</v>
      </c>
      <c r="W819">
        <v>1</v>
      </c>
      <c r="X819" t="s">
        <v>58</v>
      </c>
    </row>
    <row r="820" customHeight="1" spans="1:24">
      <c r="A820" t="s">
        <v>883</v>
      </c>
      <c r="B820">
        <v>46</v>
      </c>
      <c r="C820">
        <v>22</v>
      </c>
      <c r="D820" t="s">
        <v>60</v>
      </c>
      <c r="E820" t="s">
        <v>65</v>
      </c>
      <c r="F820" t="s">
        <v>58</v>
      </c>
      <c r="G820">
        <v>472</v>
      </c>
      <c r="H820">
        <v>29.83</v>
      </c>
      <c r="I820">
        <v>138</v>
      </c>
      <c r="J820">
        <v>861.91</v>
      </c>
      <c r="K820">
        <v>1</v>
      </c>
      <c r="L820" t="s">
        <v>56</v>
      </c>
      <c r="M820">
        <v>0</v>
      </c>
      <c r="N820">
        <v>0</v>
      </c>
      <c r="O820">
        <v>23.7</v>
      </c>
      <c r="P820">
        <v>0</v>
      </c>
      <c r="Q820">
        <v>1</v>
      </c>
      <c r="R820">
        <v>1</v>
      </c>
      <c r="S820" t="s">
        <v>57</v>
      </c>
      <c r="T820">
        <v>0</v>
      </c>
      <c r="U820">
        <v>1</v>
      </c>
      <c r="V820">
        <v>0</v>
      </c>
      <c r="W820">
        <v>0</v>
      </c>
      <c r="X820" t="s">
        <v>58</v>
      </c>
    </row>
    <row r="821" customHeight="1" spans="1:24">
      <c r="A821" t="s">
        <v>884</v>
      </c>
      <c r="B821">
        <v>21</v>
      </c>
      <c r="C821">
        <v>63</v>
      </c>
      <c r="D821" t="s">
        <v>72</v>
      </c>
      <c r="E821" t="s">
        <v>65</v>
      </c>
      <c r="F821" t="s">
        <v>58</v>
      </c>
      <c r="G821">
        <v>352</v>
      </c>
      <c r="H821">
        <v>29.31</v>
      </c>
      <c r="I821">
        <v>117</v>
      </c>
      <c r="J821">
        <v>1224.57</v>
      </c>
      <c r="K821">
        <v>1</v>
      </c>
      <c r="L821" t="s">
        <v>56</v>
      </c>
      <c r="M821">
        <v>3</v>
      </c>
      <c r="N821">
        <v>4</v>
      </c>
      <c r="O821">
        <v>27.7</v>
      </c>
      <c r="P821">
        <v>0</v>
      </c>
      <c r="Q821">
        <v>2</v>
      </c>
      <c r="R821">
        <v>1</v>
      </c>
      <c r="S821" t="s">
        <v>63</v>
      </c>
      <c r="T821">
        <v>1</v>
      </c>
      <c r="U821">
        <v>1</v>
      </c>
      <c r="V821">
        <v>0</v>
      </c>
      <c r="W821">
        <v>0</v>
      </c>
      <c r="X821" t="s">
        <v>58</v>
      </c>
    </row>
    <row r="822" customHeight="1" spans="1:24">
      <c r="A822" t="s">
        <v>885</v>
      </c>
      <c r="B822">
        <v>40</v>
      </c>
      <c r="C822">
        <v>24</v>
      </c>
      <c r="D822" t="s">
        <v>60</v>
      </c>
      <c r="E822" t="s">
        <v>76</v>
      </c>
      <c r="F822" t="s">
        <v>58</v>
      </c>
      <c r="G822">
        <v>303</v>
      </c>
      <c r="H822">
        <v>13.8</v>
      </c>
      <c r="I822">
        <v>129</v>
      </c>
      <c r="J822">
        <v>836.78</v>
      </c>
      <c r="K822">
        <v>0</v>
      </c>
      <c r="L822" t="s">
        <v>62</v>
      </c>
      <c r="M822">
        <v>0</v>
      </c>
      <c r="N822">
        <v>0</v>
      </c>
      <c r="O822">
        <v>23.7</v>
      </c>
      <c r="P822">
        <v>0</v>
      </c>
      <c r="Q822">
        <v>2</v>
      </c>
      <c r="R822">
        <v>0</v>
      </c>
      <c r="S822" t="s">
        <v>57</v>
      </c>
      <c r="T822">
        <v>0</v>
      </c>
      <c r="U822">
        <v>0</v>
      </c>
      <c r="V822">
        <v>0</v>
      </c>
      <c r="W822">
        <v>0</v>
      </c>
      <c r="X822" t="s">
        <v>58</v>
      </c>
    </row>
    <row r="823" customHeight="1" spans="1:24">
      <c r="A823" t="s">
        <v>886</v>
      </c>
      <c r="B823">
        <v>73</v>
      </c>
      <c r="C823">
        <v>39</v>
      </c>
      <c r="D823" t="s">
        <v>60</v>
      </c>
      <c r="E823" t="s">
        <v>117</v>
      </c>
      <c r="F823" t="s">
        <v>58</v>
      </c>
      <c r="G823">
        <v>408</v>
      </c>
      <c r="H823">
        <v>23.55</v>
      </c>
      <c r="I823">
        <v>122</v>
      </c>
      <c r="J823">
        <v>682.89</v>
      </c>
      <c r="K823">
        <v>0</v>
      </c>
      <c r="L823" t="s">
        <v>62</v>
      </c>
      <c r="M823">
        <v>1</v>
      </c>
      <c r="N823">
        <v>2</v>
      </c>
      <c r="O823">
        <v>30.6</v>
      </c>
      <c r="P823">
        <v>1</v>
      </c>
      <c r="Q823">
        <v>1</v>
      </c>
      <c r="R823">
        <v>2</v>
      </c>
      <c r="S823" t="s">
        <v>63</v>
      </c>
      <c r="T823">
        <v>1</v>
      </c>
      <c r="U823">
        <v>0</v>
      </c>
      <c r="V823">
        <v>0</v>
      </c>
      <c r="W823">
        <v>0</v>
      </c>
      <c r="X823" t="s">
        <v>58</v>
      </c>
    </row>
    <row r="824" customHeight="1" spans="1:24">
      <c r="A824" t="s">
        <v>887</v>
      </c>
      <c r="B824">
        <v>72</v>
      </c>
      <c r="C824">
        <v>68</v>
      </c>
      <c r="D824" t="s">
        <v>60</v>
      </c>
      <c r="E824" t="s">
        <v>61</v>
      </c>
      <c r="F824" t="s">
        <v>58</v>
      </c>
      <c r="G824">
        <v>228</v>
      </c>
      <c r="H824">
        <v>22.21</v>
      </c>
      <c r="I824">
        <v>138</v>
      </c>
      <c r="J824">
        <v>702.24</v>
      </c>
      <c r="K824">
        <v>2</v>
      </c>
      <c r="L824" t="s">
        <v>56</v>
      </c>
      <c r="M824">
        <v>1</v>
      </c>
      <c r="N824">
        <v>1</v>
      </c>
      <c r="O824">
        <v>33.2</v>
      </c>
      <c r="P824">
        <v>2</v>
      </c>
      <c r="Q824">
        <v>1</v>
      </c>
      <c r="R824">
        <v>0</v>
      </c>
      <c r="S824" t="s">
        <v>63</v>
      </c>
      <c r="T824">
        <v>1</v>
      </c>
      <c r="U824">
        <v>1</v>
      </c>
      <c r="V824">
        <v>0</v>
      </c>
      <c r="W824">
        <v>0</v>
      </c>
      <c r="X824" t="s">
        <v>58</v>
      </c>
    </row>
    <row r="825" customHeight="1" spans="1:24">
      <c r="A825" t="s">
        <v>888</v>
      </c>
      <c r="B825">
        <v>53</v>
      </c>
      <c r="C825">
        <v>39</v>
      </c>
      <c r="D825" t="s">
        <v>72</v>
      </c>
      <c r="E825" t="s">
        <v>69</v>
      </c>
      <c r="F825" t="s">
        <v>58</v>
      </c>
      <c r="G825">
        <v>464</v>
      </c>
      <c r="H825">
        <v>12.6</v>
      </c>
      <c r="I825">
        <v>214</v>
      </c>
      <c r="J825">
        <v>923.93</v>
      </c>
      <c r="K825">
        <v>0</v>
      </c>
      <c r="L825" t="s">
        <v>62</v>
      </c>
      <c r="M825">
        <v>1</v>
      </c>
      <c r="N825">
        <v>2</v>
      </c>
      <c r="O825">
        <v>7.8</v>
      </c>
      <c r="P825">
        <v>6</v>
      </c>
      <c r="Q825">
        <v>4</v>
      </c>
      <c r="R825">
        <v>1</v>
      </c>
      <c r="S825" t="s">
        <v>63</v>
      </c>
      <c r="T825">
        <v>1</v>
      </c>
      <c r="U825">
        <v>0</v>
      </c>
      <c r="V825">
        <v>0</v>
      </c>
      <c r="W825">
        <v>0</v>
      </c>
      <c r="X825" t="s">
        <v>58</v>
      </c>
    </row>
    <row r="826" customHeight="1" spans="1:24">
      <c r="A826" t="s">
        <v>889</v>
      </c>
      <c r="B826">
        <v>55</v>
      </c>
      <c r="C826">
        <v>50</v>
      </c>
      <c r="D826" t="s">
        <v>60</v>
      </c>
      <c r="E826" t="s">
        <v>76</v>
      </c>
      <c r="F826" t="s">
        <v>55</v>
      </c>
      <c r="G826">
        <v>570</v>
      </c>
      <c r="H826">
        <v>24.16</v>
      </c>
      <c r="I826">
        <v>37</v>
      </c>
      <c r="J826">
        <v>784.26</v>
      </c>
      <c r="K826">
        <v>0</v>
      </c>
      <c r="L826" t="s">
        <v>62</v>
      </c>
      <c r="M826">
        <v>1</v>
      </c>
      <c r="N826">
        <v>1</v>
      </c>
      <c r="O826">
        <v>27</v>
      </c>
      <c r="P826">
        <v>0</v>
      </c>
      <c r="Q826">
        <v>1</v>
      </c>
      <c r="R826">
        <v>0</v>
      </c>
      <c r="S826" t="s">
        <v>63</v>
      </c>
      <c r="T826">
        <v>1</v>
      </c>
      <c r="U826">
        <v>0</v>
      </c>
      <c r="V826">
        <v>0</v>
      </c>
      <c r="W826">
        <v>1</v>
      </c>
      <c r="X826" t="s">
        <v>58</v>
      </c>
    </row>
    <row r="827" customHeight="1" spans="1:24">
      <c r="A827" t="s">
        <v>890</v>
      </c>
      <c r="B827">
        <v>33</v>
      </c>
      <c r="C827">
        <v>66</v>
      </c>
      <c r="D827" t="s">
        <v>60</v>
      </c>
      <c r="E827" t="s">
        <v>61</v>
      </c>
      <c r="F827" t="s">
        <v>58</v>
      </c>
      <c r="G827">
        <v>388</v>
      </c>
      <c r="H827">
        <v>36.62</v>
      </c>
      <c r="I827">
        <v>96</v>
      </c>
      <c r="J827">
        <v>865.8</v>
      </c>
      <c r="K827">
        <v>1</v>
      </c>
      <c r="L827" t="s">
        <v>56</v>
      </c>
      <c r="M827">
        <v>0</v>
      </c>
      <c r="N827">
        <v>0</v>
      </c>
      <c r="O827">
        <v>21.8</v>
      </c>
      <c r="P827">
        <v>1</v>
      </c>
      <c r="Q827">
        <v>0</v>
      </c>
      <c r="R827">
        <v>0</v>
      </c>
      <c r="S827" t="s">
        <v>63</v>
      </c>
      <c r="T827">
        <v>0</v>
      </c>
      <c r="U827">
        <v>1</v>
      </c>
      <c r="V827">
        <v>0</v>
      </c>
      <c r="W827">
        <v>0</v>
      </c>
      <c r="X827" t="s">
        <v>58</v>
      </c>
    </row>
    <row r="828" customHeight="1" spans="1:24">
      <c r="A828" t="s">
        <v>891</v>
      </c>
      <c r="B828">
        <v>63</v>
      </c>
      <c r="C828">
        <v>71</v>
      </c>
      <c r="D828" t="s">
        <v>60</v>
      </c>
      <c r="E828" t="s">
        <v>54</v>
      </c>
      <c r="F828" t="s">
        <v>55</v>
      </c>
      <c r="G828">
        <v>370</v>
      </c>
      <c r="H828">
        <v>22.72</v>
      </c>
      <c r="I828">
        <v>167</v>
      </c>
      <c r="J828">
        <v>731.59</v>
      </c>
      <c r="K828">
        <v>0</v>
      </c>
      <c r="L828" t="s">
        <v>62</v>
      </c>
      <c r="M828">
        <v>0</v>
      </c>
      <c r="N828">
        <v>1</v>
      </c>
      <c r="O828">
        <v>19.3</v>
      </c>
      <c r="P828">
        <v>0</v>
      </c>
      <c r="Q828">
        <v>0</v>
      </c>
      <c r="R828">
        <v>1</v>
      </c>
      <c r="S828" t="s">
        <v>63</v>
      </c>
      <c r="T828">
        <v>0</v>
      </c>
      <c r="U828">
        <v>0</v>
      </c>
      <c r="V828">
        <v>0</v>
      </c>
      <c r="W828">
        <v>1</v>
      </c>
      <c r="X828" t="s">
        <v>55</v>
      </c>
    </row>
    <row r="829" customHeight="1" spans="1:24">
      <c r="A829" t="s">
        <v>892</v>
      </c>
      <c r="B829">
        <v>52</v>
      </c>
      <c r="C829">
        <v>36</v>
      </c>
      <c r="D829" t="s">
        <v>60</v>
      </c>
      <c r="E829" t="s">
        <v>54</v>
      </c>
      <c r="F829" t="s">
        <v>58</v>
      </c>
      <c r="G829">
        <v>456</v>
      </c>
      <c r="H829">
        <v>23.66</v>
      </c>
      <c r="I829">
        <v>154</v>
      </c>
      <c r="J829">
        <v>622.88</v>
      </c>
      <c r="K829">
        <v>1</v>
      </c>
      <c r="L829" t="s">
        <v>56</v>
      </c>
      <c r="M829">
        <v>0</v>
      </c>
      <c r="N829">
        <v>0</v>
      </c>
      <c r="O829">
        <v>39.6</v>
      </c>
      <c r="P829">
        <v>0</v>
      </c>
      <c r="Q829">
        <v>2</v>
      </c>
      <c r="R829">
        <v>1</v>
      </c>
      <c r="S829" t="s">
        <v>63</v>
      </c>
      <c r="T829">
        <v>0</v>
      </c>
      <c r="U829">
        <v>1</v>
      </c>
      <c r="V829">
        <v>0</v>
      </c>
      <c r="W829">
        <v>0</v>
      </c>
      <c r="X829" t="s">
        <v>58</v>
      </c>
    </row>
    <row r="830" customHeight="1" spans="1:24">
      <c r="A830" t="s">
        <v>893</v>
      </c>
      <c r="B830">
        <v>20</v>
      </c>
      <c r="C830">
        <v>31</v>
      </c>
      <c r="D830" t="s">
        <v>53</v>
      </c>
      <c r="E830" t="s">
        <v>69</v>
      </c>
      <c r="F830" t="s">
        <v>55</v>
      </c>
      <c r="G830">
        <v>96</v>
      </c>
      <c r="H830">
        <v>24.72</v>
      </c>
      <c r="I830">
        <v>152</v>
      </c>
      <c r="J830">
        <v>427.16</v>
      </c>
      <c r="K830">
        <v>0</v>
      </c>
      <c r="L830" t="s">
        <v>62</v>
      </c>
      <c r="M830">
        <v>0</v>
      </c>
      <c r="N830">
        <v>0</v>
      </c>
      <c r="O830">
        <v>23.7</v>
      </c>
      <c r="P830">
        <v>0</v>
      </c>
      <c r="Q830">
        <v>2</v>
      </c>
      <c r="R830">
        <v>1</v>
      </c>
      <c r="S830" t="s">
        <v>63</v>
      </c>
      <c r="T830">
        <v>0</v>
      </c>
      <c r="U830">
        <v>0</v>
      </c>
      <c r="V830">
        <v>0</v>
      </c>
      <c r="W830">
        <v>1</v>
      </c>
      <c r="X830" t="s">
        <v>55</v>
      </c>
    </row>
    <row r="831" customHeight="1" spans="1:24">
      <c r="A831" t="s">
        <v>894</v>
      </c>
      <c r="B831">
        <v>73</v>
      </c>
      <c r="C831">
        <v>15</v>
      </c>
      <c r="D831" t="s">
        <v>60</v>
      </c>
      <c r="E831" t="s">
        <v>76</v>
      </c>
      <c r="F831" t="s">
        <v>58</v>
      </c>
      <c r="G831">
        <v>481</v>
      </c>
      <c r="H831">
        <v>3.39</v>
      </c>
      <c r="I831">
        <v>313</v>
      </c>
      <c r="J831">
        <v>789.46</v>
      </c>
      <c r="K831">
        <v>0</v>
      </c>
      <c r="L831" t="s">
        <v>62</v>
      </c>
      <c r="M831">
        <v>0</v>
      </c>
      <c r="N831">
        <v>0</v>
      </c>
      <c r="O831">
        <v>7.3</v>
      </c>
      <c r="P831">
        <v>0</v>
      </c>
      <c r="Q831">
        <v>0</v>
      </c>
      <c r="R831">
        <v>0</v>
      </c>
      <c r="S831" t="s">
        <v>57</v>
      </c>
      <c r="T831">
        <v>0</v>
      </c>
      <c r="U831">
        <v>0</v>
      </c>
      <c r="V831">
        <v>1</v>
      </c>
      <c r="W831">
        <v>0</v>
      </c>
      <c r="X831" t="s">
        <v>58</v>
      </c>
    </row>
    <row r="832" customHeight="1" spans="1:24">
      <c r="A832" t="s">
        <v>895</v>
      </c>
      <c r="B832">
        <v>67</v>
      </c>
      <c r="C832">
        <v>39</v>
      </c>
      <c r="D832" t="s">
        <v>60</v>
      </c>
      <c r="E832" t="s">
        <v>61</v>
      </c>
      <c r="F832" t="s">
        <v>55</v>
      </c>
      <c r="G832">
        <v>865</v>
      </c>
      <c r="H832">
        <v>22.6</v>
      </c>
      <c r="I832">
        <v>163</v>
      </c>
      <c r="J832">
        <v>934.41</v>
      </c>
      <c r="K832">
        <v>0</v>
      </c>
      <c r="L832" t="s">
        <v>62</v>
      </c>
      <c r="M832">
        <v>2</v>
      </c>
      <c r="N832">
        <v>3</v>
      </c>
      <c r="O832">
        <v>33.5</v>
      </c>
      <c r="P832">
        <v>0</v>
      </c>
      <c r="Q832">
        <v>1</v>
      </c>
      <c r="R832">
        <v>1</v>
      </c>
      <c r="S832" t="s">
        <v>63</v>
      </c>
      <c r="T832">
        <v>1</v>
      </c>
      <c r="U832">
        <v>0</v>
      </c>
      <c r="V832">
        <v>0</v>
      </c>
      <c r="W832">
        <v>1</v>
      </c>
      <c r="X832" t="s">
        <v>58</v>
      </c>
    </row>
    <row r="833" customHeight="1" spans="1:24">
      <c r="A833" t="s">
        <v>896</v>
      </c>
      <c r="B833">
        <v>22</v>
      </c>
      <c r="C833">
        <v>67</v>
      </c>
      <c r="D833" t="s">
        <v>72</v>
      </c>
      <c r="E833" t="s">
        <v>65</v>
      </c>
      <c r="F833" t="s">
        <v>58</v>
      </c>
      <c r="G833">
        <v>382</v>
      </c>
      <c r="H833">
        <v>7.83</v>
      </c>
      <c r="I833">
        <v>199</v>
      </c>
      <c r="J833">
        <v>1050.83</v>
      </c>
      <c r="K833">
        <v>1</v>
      </c>
      <c r="L833" t="s">
        <v>56</v>
      </c>
      <c r="M833">
        <v>1</v>
      </c>
      <c r="N833">
        <v>2</v>
      </c>
      <c r="O833">
        <v>7</v>
      </c>
      <c r="P833">
        <v>2</v>
      </c>
      <c r="Q833">
        <v>0</v>
      </c>
      <c r="R833">
        <v>0</v>
      </c>
      <c r="S833" t="s">
        <v>63</v>
      </c>
      <c r="T833">
        <v>1</v>
      </c>
      <c r="U833">
        <v>1</v>
      </c>
      <c r="V833">
        <v>0</v>
      </c>
      <c r="W833">
        <v>0</v>
      </c>
      <c r="X833" t="s">
        <v>58</v>
      </c>
    </row>
    <row r="834" customHeight="1" spans="1:24">
      <c r="A834" t="s">
        <v>897</v>
      </c>
      <c r="B834">
        <v>42</v>
      </c>
      <c r="C834">
        <v>36</v>
      </c>
      <c r="D834" t="s">
        <v>60</v>
      </c>
      <c r="E834" t="s">
        <v>61</v>
      </c>
      <c r="F834" t="s">
        <v>58</v>
      </c>
      <c r="G834">
        <v>382</v>
      </c>
      <c r="H834">
        <v>12.1</v>
      </c>
      <c r="I834">
        <v>99</v>
      </c>
      <c r="J834">
        <v>711.31</v>
      </c>
      <c r="K834">
        <v>0</v>
      </c>
      <c r="L834" t="s">
        <v>62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 t="s">
        <v>63</v>
      </c>
      <c r="T834">
        <v>0</v>
      </c>
      <c r="U834">
        <v>0</v>
      </c>
      <c r="V834">
        <v>0</v>
      </c>
      <c r="W834">
        <v>0</v>
      </c>
      <c r="X834" t="s">
        <v>58</v>
      </c>
    </row>
    <row r="835" customHeight="1" spans="1:24">
      <c r="A835" t="s">
        <v>898</v>
      </c>
      <c r="B835">
        <v>61</v>
      </c>
      <c r="C835">
        <v>26</v>
      </c>
      <c r="D835" t="s">
        <v>60</v>
      </c>
      <c r="E835" t="s">
        <v>76</v>
      </c>
      <c r="F835" t="s">
        <v>55</v>
      </c>
      <c r="G835">
        <v>512</v>
      </c>
      <c r="H835">
        <v>39.62</v>
      </c>
      <c r="I835">
        <v>50</v>
      </c>
      <c r="J835">
        <v>826.62</v>
      </c>
      <c r="K835">
        <v>0</v>
      </c>
      <c r="L835" t="s">
        <v>62</v>
      </c>
      <c r="M835">
        <v>2</v>
      </c>
      <c r="N835">
        <v>3</v>
      </c>
      <c r="O835">
        <v>34.9</v>
      </c>
      <c r="P835">
        <v>1</v>
      </c>
      <c r="Q835">
        <v>0</v>
      </c>
      <c r="R835">
        <v>0</v>
      </c>
      <c r="S835" t="s">
        <v>63</v>
      </c>
      <c r="T835">
        <v>1</v>
      </c>
      <c r="U835">
        <v>0</v>
      </c>
      <c r="V835">
        <v>0</v>
      </c>
      <c r="W835">
        <v>1</v>
      </c>
      <c r="X835" t="s">
        <v>58</v>
      </c>
    </row>
    <row r="836" customHeight="1" spans="1:24">
      <c r="A836" t="s">
        <v>899</v>
      </c>
      <c r="B836">
        <v>60</v>
      </c>
      <c r="C836">
        <v>8</v>
      </c>
      <c r="D836" t="s">
        <v>72</v>
      </c>
      <c r="E836" t="s">
        <v>76</v>
      </c>
      <c r="F836" t="s">
        <v>58</v>
      </c>
      <c r="G836">
        <v>647</v>
      </c>
      <c r="H836">
        <v>15.47</v>
      </c>
      <c r="I836">
        <v>98</v>
      </c>
      <c r="J836">
        <v>1079.37</v>
      </c>
      <c r="K836">
        <v>0</v>
      </c>
      <c r="L836" t="s">
        <v>62</v>
      </c>
      <c r="M836">
        <v>0</v>
      </c>
      <c r="N836">
        <v>0</v>
      </c>
      <c r="O836">
        <v>25.9</v>
      </c>
      <c r="P836">
        <v>0</v>
      </c>
      <c r="Q836">
        <v>0</v>
      </c>
      <c r="R836">
        <v>1</v>
      </c>
      <c r="S836" t="s">
        <v>57</v>
      </c>
      <c r="T836">
        <v>0</v>
      </c>
      <c r="U836">
        <v>0</v>
      </c>
      <c r="V836">
        <v>0</v>
      </c>
      <c r="W836">
        <v>0</v>
      </c>
      <c r="X836" t="s">
        <v>58</v>
      </c>
    </row>
    <row r="837" customHeight="1" spans="1:24">
      <c r="A837" t="s">
        <v>900</v>
      </c>
      <c r="B837">
        <v>27</v>
      </c>
      <c r="C837">
        <v>29</v>
      </c>
      <c r="D837" t="s">
        <v>60</v>
      </c>
      <c r="E837" t="s">
        <v>61</v>
      </c>
      <c r="F837" t="s">
        <v>58</v>
      </c>
      <c r="G837">
        <v>546</v>
      </c>
      <c r="H837">
        <v>10.6</v>
      </c>
      <c r="I837">
        <v>170</v>
      </c>
      <c r="J837">
        <v>712.17</v>
      </c>
      <c r="K837">
        <v>1</v>
      </c>
      <c r="L837" t="s">
        <v>56</v>
      </c>
      <c r="M837">
        <v>0</v>
      </c>
      <c r="N837">
        <v>0</v>
      </c>
      <c r="O837">
        <v>29.7</v>
      </c>
      <c r="P837">
        <v>4</v>
      </c>
      <c r="Q837">
        <v>0</v>
      </c>
      <c r="R837">
        <v>1</v>
      </c>
      <c r="S837" t="s">
        <v>63</v>
      </c>
      <c r="T837">
        <v>0</v>
      </c>
      <c r="U837">
        <v>1</v>
      </c>
      <c r="V837">
        <v>0</v>
      </c>
      <c r="W837">
        <v>0</v>
      </c>
      <c r="X837" t="s">
        <v>58</v>
      </c>
    </row>
    <row r="838" customHeight="1" spans="1:24">
      <c r="A838" t="s">
        <v>901</v>
      </c>
      <c r="B838">
        <v>20</v>
      </c>
      <c r="C838">
        <v>18</v>
      </c>
      <c r="D838" t="s">
        <v>53</v>
      </c>
      <c r="E838" t="s">
        <v>54</v>
      </c>
      <c r="F838" t="s">
        <v>58</v>
      </c>
      <c r="G838">
        <v>77</v>
      </c>
      <c r="H838">
        <v>29.53</v>
      </c>
      <c r="I838">
        <v>148</v>
      </c>
      <c r="J838">
        <v>422.02</v>
      </c>
      <c r="K838">
        <v>0</v>
      </c>
      <c r="L838" t="s">
        <v>62</v>
      </c>
      <c r="M838">
        <v>1</v>
      </c>
      <c r="N838">
        <v>1</v>
      </c>
      <c r="O838">
        <v>18.7</v>
      </c>
      <c r="P838">
        <v>2</v>
      </c>
      <c r="Q838">
        <v>0</v>
      </c>
      <c r="R838">
        <v>0</v>
      </c>
      <c r="S838" t="s">
        <v>57</v>
      </c>
      <c r="T838">
        <v>1</v>
      </c>
      <c r="U838">
        <v>0</v>
      </c>
      <c r="V838">
        <v>0</v>
      </c>
      <c r="W838">
        <v>0</v>
      </c>
      <c r="X838" t="s">
        <v>58</v>
      </c>
    </row>
    <row r="839" customHeight="1" spans="1:24">
      <c r="A839" t="s">
        <v>902</v>
      </c>
      <c r="B839">
        <v>75</v>
      </c>
      <c r="C839">
        <v>71</v>
      </c>
      <c r="D839" t="s">
        <v>53</v>
      </c>
      <c r="E839" t="s">
        <v>54</v>
      </c>
      <c r="F839" t="s">
        <v>58</v>
      </c>
      <c r="G839">
        <v>485</v>
      </c>
      <c r="H839">
        <v>8.52</v>
      </c>
      <c r="I839">
        <v>148</v>
      </c>
      <c r="J839">
        <v>572.05</v>
      </c>
      <c r="K839">
        <v>0</v>
      </c>
      <c r="L839" t="s">
        <v>62</v>
      </c>
      <c r="M839">
        <v>0</v>
      </c>
      <c r="N839">
        <v>1</v>
      </c>
      <c r="O839">
        <v>7.4</v>
      </c>
      <c r="P839">
        <v>0</v>
      </c>
      <c r="Q839">
        <v>0</v>
      </c>
      <c r="R839">
        <v>1</v>
      </c>
      <c r="S839" t="s">
        <v>63</v>
      </c>
      <c r="T839">
        <v>0</v>
      </c>
      <c r="U839">
        <v>0</v>
      </c>
      <c r="V839">
        <v>0</v>
      </c>
      <c r="W839">
        <v>0</v>
      </c>
      <c r="X839" t="s">
        <v>58</v>
      </c>
    </row>
    <row r="840" customHeight="1" spans="1:24">
      <c r="A840" t="s">
        <v>903</v>
      </c>
      <c r="B840">
        <v>69</v>
      </c>
      <c r="C840">
        <v>38</v>
      </c>
      <c r="D840" t="s">
        <v>53</v>
      </c>
      <c r="E840" t="s">
        <v>76</v>
      </c>
      <c r="F840" t="s">
        <v>58</v>
      </c>
      <c r="G840">
        <v>786</v>
      </c>
      <c r="H840">
        <v>13.53</v>
      </c>
      <c r="I840">
        <v>105</v>
      </c>
      <c r="J840">
        <v>503.8</v>
      </c>
      <c r="K840">
        <v>0</v>
      </c>
      <c r="L840" t="s">
        <v>62</v>
      </c>
      <c r="M840">
        <v>2</v>
      </c>
      <c r="N840">
        <v>3</v>
      </c>
      <c r="O840">
        <v>9.8</v>
      </c>
      <c r="P840">
        <v>2</v>
      </c>
      <c r="Q840">
        <v>1</v>
      </c>
      <c r="R840">
        <v>2</v>
      </c>
      <c r="S840" t="s">
        <v>63</v>
      </c>
      <c r="T840">
        <v>1</v>
      </c>
      <c r="U840">
        <v>0</v>
      </c>
      <c r="V840">
        <v>0</v>
      </c>
      <c r="W840">
        <v>0</v>
      </c>
      <c r="X840" t="s">
        <v>58</v>
      </c>
    </row>
    <row r="841" customHeight="1" spans="1:24">
      <c r="A841" t="s">
        <v>904</v>
      </c>
      <c r="B841">
        <v>60</v>
      </c>
      <c r="C841">
        <v>10</v>
      </c>
      <c r="D841" t="s">
        <v>53</v>
      </c>
      <c r="E841" t="s">
        <v>54</v>
      </c>
      <c r="F841" t="s">
        <v>58</v>
      </c>
      <c r="G841">
        <v>493</v>
      </c>
      <c r="H841">
        <v>30.49</v>
      </c>
      <c r="I841">
        <v>94</v>
      </c>
      <c r="J841">
        <v>411</v>
      </c>
      <c r="K841">
        <v>0</v>
      </c>
      <c r="L841" t="s">
        <v>62</v>
      </c>
      <c r="M841">
        <v>0</v>
      </c>
      <c r="N841">
        <v>2</v>
      </c>
      <c r="O841">
        <v>20.7</v>
      </c>
      <c r="P841">
        <v>0</v>
      </c>
      <c r="Q841">
        <v>0</v>
      </c>
      <c r="R841">
        <v>0</v>
      </c>
      <c r="S841" t="s">
        <v>57</v>
      </c>
      <c r="T841">
        <v>0</v>
      </c>
      <c r="U841">
        <v>0</v>
      </c>
      <c r="V841">
        <v>0</v>
      </c>
      <c r="W841">
        <v>0</v>
      </c>
      <c r="X841" t="s">
        <v>58</v>
      </c>
    </row>
    <row r="842" customHeight="1" spans="1:24">
      <c r="A842" t="s">
        <v>905</v>
      </c>
      <c r="B842">
        <v>56</v>
      </c>
      <c r="C842">
        <v>5</v>
      </c>
      <c r="D842" t="s">
        <v>60</v>
      </c>
      <c r="E842" t="s">
        <v>65</v>
      </c>
      <c r="F842" t="s">
        <v>58</v>
      </c>
      <c r="G842">
        <v>227</v>
      </c>
      <c r="H842">
        <v>18.43</v>
      </c>
      <c r="I842">
        <v>107</v>
      </c>
      <c r="J842">
        <v>703.63</v>
      </c>
      <c r="K842">
        <v>0</v>
      </c>
      <c r="L842" t="s">
        <v>62</v>
      </c>
      <c r="M842">
        <v>0</v>
      </c>
      <c r="N842">
        <v>0</v>
      </c>
      <c r="O842">
        <v>8.7</v>
      </c>
      <c r="P842">
        <v>0</v>
      </c>
      <c r="Q842">
        <v>0</v>
      </c>
      <c r="R842">
        <v>0</v>
      </c>
      <c r="S842" t="s">
        <v>66</v>
      </c>
      <c r="T842">
        <v>0</v>
      </c>
      <c r="U842">
        <v>0</v>
      </c>
      <c r="V842">
        <v>0</v>
      </c>
      <c r="W842">
        <v>0</v>
      </c>
      <c r="X842" t="s">
        <v>58</v>
      </c>
    </row>
    <row r="843" customHeight="1" spans="1:24">
      <c r="A843" t="s">
        <v>906</v>
      </c>
      <c r="B843">
        <v>57</v>
      </c>
      <c r="C843">
        <v>62</v>
      </c>
      <c r="D843" t="s">
        <v>72</v>
      </c>
      <c r="E843" t="s">
        <v>61</v>
      </c>
      <c r="F843" t="s">
        <v>55</v>
      </c>
      <c r="G843">
        <v>442</v>
      </c>
      <c r="H843">
        <v>2.38</v>
      </c>
      <c r="I843">
        <v>171</v>
      </c>
      <c r="J843">
        <v>1194.76</v>
      </c>
      <c r="K843">
        <v>1</v>
      </c>
      <c r="L843" t="s">
        <v>56</v>
      </c>
      <c r="M843">
        <v>1</v>
      </c>
      <c r="N843">
        <v>2</v>
      </c>
      <c r="O843">
        <v>27.7</v>
      </c>
      <c r="P843">
        <v>1</v>
      </c>
      <c r="Q843">
        <v>1</v>
      </c>
      <c r="R843">
        <v>1</v>
      </c>
      <c r="S843" t="s">
        <v>63</v>
      </c>
      <c r="T843">
        <v>1</v>
      </c>
      <c r="U843">
        <v>1</v>
      </c>
      <c r="V843">
        <v>1</v>
      </c>
      <c r="W843">
        <v>1</v>
      </c>
      <c r="X843" t="s">
        <v>55</v>
      </c>
    </row>
    <row r="844" customHeight="1" spans="1:24">
      <c r="A844" t="s">
        <v>907</v>
      </c>
      <c r="B844">
        <v>44</v>
      </c>
      <c r="C844">
        <v>68</v>
      </c>
      <c r="D844" t="s">
        <v>60</v>
      </c>
      <c r="E844" t="s">
        <v>76</v>
      </c>
      <c r="F844" t="s">
        <v>58</v>
      </c>
      <c r="G844">
        <v>208</v>
      </c>
      <c r="H844">
        <v>23.44</v>
      </c>
      <c r="I844">
        <v>179</v>
      </c>
      <c r="J844">
        <v>919.23</v>
      </c>
      <c r="K844">
        <v>0</v>
      </c>
      <c r="L844" t="s">
        <v>62</v>
      </c>
      <c r="M844">
        <v>0</v>
      </c>
      <c r="N844">
        <v>0</v>
      </c>
      <c r="O844">
        <v>18.5</v>
      </c>
      <c r="P844">
        <v>1</v>
      </c>
      <c r="Q844">
        <v>0</v>
      </c>
      <c r="R844">
        <v>2</v>
      </c>
      <c r="S844" t="s">
        <v>63</v>
      </c>
      <c r="T844">
        <v>0</v>
      </c>
      <c r="U844">
        <v>0</v>
      </c>
      <c r="V844">
        <v>0</v>
      </c>
      <c r="W844">
        <v>0</v>
      </c>
      <c r="X844" t="s">
        <v>58</v>
      </c>
    </row>
    <row r="845" customHeight="1" spans="1:24">
      <c r="A845" t="s">
        <v>908</v>
      </c>
      <c r="B845">
        <v>57</v>
      </c>
      <c r="C845">
        <v>55</v>
      </c>
      <c r="D845" t="s">
        <v>53</v>
      </c>
      <c r="E845" t="s">
        <v>69</v>
      </c>
      <c r="F845" t="s">
        <v>55</v>
      </c>
      <c r="G845">
        <v>585</v>
      </c>
      <c r="H845">
        <v>14.04</v>
      </c>
      <c r="I845">
        <v>50</v>
      </c>
      <c r="J845">
        <v>354.88</v>
      </c>
      <c r="K845">
        <v>0</v>
      </c>
      <c r="L845" t="s">
        <v>62</v>
      </c>
      <c r="M845">
        <v>1</v>
      </c>
      <c r="N845">
        <v>3</v>
      </c>
      <c r="O845">
        <v>26.2</v>
      </c>
      <c r="P845">
        <v>0</v>
      </c>
      <c r="Q845">
        <v>0</v>
      </c>
      <c r="R845">
        <v>1</v>
      </c>
      <c r="S845" t="s">
        <v>63</v>
      </c>
      <c r="T845">
        <v>1</v>
      </c>
      <c r="U845">
        <v>0</v>
      </c>
      <c r="V845">
        <v>0</v>
      </c>
      <c r="W845">
        <v>1</v>
      </c>
      <c r="X845" t="s">
        <v>55</v>
      </c>
    </row>
    <row r="846" customHeight="1" spans="1:24">
      <c r="A846" t="s">
        <v>909</v>
      </c>
      <c r="B846">
        <v>35</v>
      </c>
      <c r="C846">
        <v>9</v>
      </c>
      <c r="D846" t="s">
        <v>60</v>
      </c>
      <c r="E846" t="s">
        <v>54</v>
      </c>
      <c r="F846" t="s">
        <v>58</v>
      </c>
      <c r="G846">
        <v>257</v>
      </c>
      <c r="H846">
        <v>33.4</v>
      </c>
      <c r="I846">
        <v>173</v>
      </c>
      <c r="J846">
        <v>681.99</v>
      </c>
      <c r="K846">
        <v>1</v>
      </c>
      <c r="L846" t="s">
        <v>56</v>
      </c>
      <c r="M846">
        <v>0</v>
      </c>
      <c r="N846">
        <v>1</v>
      </c>
      <c r="O846">
        <v>25.9</v>
      </c>
      <c r="P846">
        <v>0</v>
      </c>
      <c r="Q846">
        <v>1</v>
      </c>
      <c r="R846">
        <v>0</v>
      </c>
      <c r="S846" t="s">
        <v>57</v>
      </c>
      <c r="T846">
        <v>0</v>
      </c>
      <c r="U846">
        <v>1</v>
      </c>
      <c r="V846">
        <v>0</v>
      </c>
      <c r="W846">
        <v>0</v>
      </c>
      <c r="X846" t="s">
        <v>58</v>
      </c>
    </row>
    <row r="847" customHeight="1" spans="1:24">
      <c r="A847" t="s">
        <v>910</v>
      </c>
      <c r="B847">
        <v>22</v>
      </c>
      <c r="C847">
        <v>8</v>
      </c>
      <c r="D847" t="s">
        <v>53</v>
      </c>
      <c r="E847" t="s">
        <v>76</v>
      </c>
      <c r="F847" t="s">
        <v>55</v>
      </c>
      <c r="G847">
        <v>411</v>
      </c>
      <c r="H847">
        <v>11.94</v>
      </c>
      <c r="I847">
        <v>74</v>
      </c>
      <c r="J847">
        <v>421.57</v>
      </c>
      <c r="K847">
        <v>1</v>
      </c>
      <c r="L847" t="s">
        <v>56</v>
      </c>
      <c r="M847">
        <v>1</v>
      </c>
      <c r="N847">
        <v>2</v>
      </c>
      <c r="O847">
        <v>28.6</v>
      </c>
      <c r="P847">
        <v>1</v>
      </c>
      <c r="Q847">
        <v>0</v>
      </c>
      <c r="R847">
        <v>0</v>
      </c>
      <c r="S847" t="s">
        <v>57</v>
      </c>
      <c r="T847">
        <v>1</v>
      </c>
      <c r="U847">
        <v>1</v>
      </c>
      <c r="V847">
        <v>0</v>
      </c>
      <c r="W847">
        <v>1</v>
      </c>
      <c r="X847" t="s">
        <v>55</v>
      </c>
    </row>
    <row r="848" customHeight="1" spans="1:24">
      <c r="A848" t="s">
        <v>911</v>
      </c>
      <c r="B848">
        <v>36</v>
      </c>
      <c r="C848">
        <v>15</v>
      </c>
      <c r="D848" t="s">
        <v>72</v>
      </c>
      <c r="E848" t="s">
        <v>61</v>
      </c>
      <c r="F848" t="s">
        <v>55</v>
      </c>
      <c r="G848">
        <v>271</v>
      </c>
      <c r="H848">
        <v>28.51</v>
      </c>
      <c r="I848">
        <v>153</v>
      </c>
      <c r="J848">
        <v>1415.62</v>
      </c>
      <c r="K848">
        <v>1</v>
      </c>
      <c r="L848" t="s">
        <v>56</v>
      </c>
      <c r="M848">
        <v>2</v>
      </c>
      <c r="N848">
        <v>3</v>
      </c>
      <c r="O848">
        <v>30</v>
      </c>
      <c r="P848">
        <v>1</v>
      </c>
      <c r="Q848">
        <v>2</v>
      </c>
      <c r="R848">
        <v>1</v>
      </c>
      <c r="S848" t="s">
        <v>57</v>
      </c>
      <c r="T848">
        <v>1</v>
      </c>
      <c r="U848">
        <v>1</v>
      </c>
      <c r="V848">
        <v>0</v>
      </c>
      <c r="W848">
        <v>1</v>
      </c>
      <c r="X848" t="s">
        <v>55</v>
      </c>
    </row>
    <row r="849" customHeight="1" spans="1:24">
      <c r="A849" t="s">
        <v>912</v>
      </c>
      <c r="B849">
        <v>35</v>
      </c>
      <c r="C849">
        <v>55</v>
      </c>
      <c r="D849" t="s">
        <v>53</v>
      </c>
      <c r="E849" t="s">
        <v>69</v>
      </c>
      <c r="F849" t="s">
        <v>55</v>
      </c>
      <c r="G849">
        <v>318</v>
      </c>
      <c r="H849">
        <v>35.76</v>
      </c>
      <c r="I849">
        <v>107</v>
      </c>
      <c r="J849">
        <v>434.8</v>
      </c>
      <c r="K849">
        <v>0</v>
      </c>
      <c r="L849" t="s">
        <v>62</v>
      </c>
      <c r="M849">
        <v>2</v>
      </c>
      <c r="N849">
        <v>2</v>
      </c>
      <c r="O849">
        <v>19.9</v>
      </c>
      <c r="P849">
        <v>1</v>
      </c>
      <c r="Q849">
        <v>0</v>
      </c>
      <c r="R849">
        <v>1</v>
      </c>
      <c r="S849" t="s">
        <v>63</v>
      </c>
      <c r="T849">
        <v>1</v>
      </c>
      <c r="U849">
        <v>0</v>
      </c>
      <c r="V849">
        <v>0</v>
      </c>
      <c r="W849">
        <v>1</v>
      </c>
      <c r="X849" t="s">
        <v>55</v>
      </c>
    </row>
    <row r="850" customHeight="1" spans="1:24">
      <c r="A850" t="s">
        <v>913</v>
      </c>
      <c r="B850">
        <v>35</v>
      </c>
      <c r="C850">
        <v>56</v>
      </c>
      <c r="D850" t="s">
        <v>60</v>
      </c>
      <c r="E850" t="s">
        <v>65</v>
      </c>
      <c r="F850" t="s">
        <v>58</v>
      </c>
      <c r="G850">
        <v>623</v>
      </c>
      <c r="H850">
        <v>9.49</v>
      </c>
      <c r="I850">
        <v>230</v>
      </c>
      <c r="J850">
        <v>592.61</v>
      </c>
      <c r="K850">
        <v>0</v>
      </c>
      <c r="L850" t="s">
        <v>62</v>
      </c>
      <c r="M850">
        <v>1</v>
      </c>
      <c r="N850">
        <v>2</v>
      </c>
      <c r="O850">
        <v>26.2</v>
      </c>
      <c r="P850">
        <v>1</v>
      </c>
      <c r="Q850">
        <v>3</v>
      </c>
      <c r="R850">
        <v>0</v>
      </c>
      <c r="S850" t="s">
        <v>63</v>
      </c>
      <c r="T850">
        <v>1</v>
      </c>
      <c r="U850">
        <v>0</v>
      </c>
      <c r="V850">
        <v>0</v>
      </c>
      <c r="W850">
        <v>0</v>
      </c>
      <c r="X850" t="s">
        <v>58</v>
      </c>
    </row>
    <row r="851" customHeight="1" spans="1:24">
      <c r="A851" t="s">
        <v>914</v>
      </c>
      <c r="B851">
        <v>45</v>
      </c>
      <c r="C851">
        <v>61</v>
      </c>
      <c r="D851" t="s">
        <v>53</v>
      </c>
      <c r="E851" t="s">
        <v>61</v>
      </c>
      <c r="F851" t="s">
        <v>58</v>
      </c>
      <c r="G851">
        <v>416</v>
      </c>
      <c r="H851">
        <v>17.41</v>
      </c>
      <c r="I851">
        <v>91</v>
      </c>
      <c r="J851">
        <v>415.37</v>
      </c>
      <c r="K851">
        <v>0</v>
      </c>
      <c r="L851" t="s">
        <v>62</v>
      </c>
      <c r="M851">
        <v>0</v>
      </c>
      <c r="N851">
        <v>1</v>
      </c>
      <c r="O851">
        <v>26.8</v>
      </c>
      <c r="P851">
        <v>1</v>
      </c>
      <c r="Q851">
        <v>2</v>
      </c>
      <c r="R851">
        <v>2</v>
      </c>
      <c r="S851" t="s">
        <v>63</v>
      </c>
      <c r="T851">
        <v>0</v>
      </c>
      <c r="U851">
        <v>0</v>
      </c>
      <c r="V851">
        <v>1</v>
      </c>
      <c r="W851">
        <v>0</v>
      </c>
      <c r="X851" t="s">
        <v>58</v>
      </c>
    </row>
    <row r="852" customHeight="1" spans="1:24">
      <c r="A852" t="s">
        <v>915</v>
      </c>
      <c r="B852">
        <v>25</v>
      </c>
      <c r="C852">
        <v>7</v>
      </c>
      <c r="D852" t="s">
        <v>60</v>
      </c>
      <c r="E852" t="s">
        <v>54</v>
      </c>
      <c r="F852" t="s">
        <v>58</v>
      </c>
      <c r="G852">
        <v>316</v>
      </c>
      <c r="H852">
        <v>21.89</v>
      </c>
      <c r="I852">
        <v>133</v>
      </c>
      <c r="J852">
        <v>878.13</v>
      </c>
      <c r="K852">
        <v>2</v>
      </c>
      <c r="L852" t="s">
        <v>56</v>
      </c>
      <c r="M852">
        <v>1</v>
      </c>
      <c r="N852">
        <v>1</v>
      </c>
      <c r="O852">
        <v>1</v>
      </c>
      <c r="P852">
        <v>4</v>
      </c>
      <c r="Q852">
        <v>2</v>
      </c>
      <c r="R852">
        <v>0</v>
      </c>
      <c r="S852" t="s">
        <v>57</v>
      </c>
      <c r="T852">
        <v>1</v>
      </c>
      <c r="U852">
        <v>1</v>
      </c>
      <c r="V852">
        <v>0</v>
      </c>
      <c r="W852">
        <v>0</v>
      </c>
      <c r="X852" t="s">
        <v>58</v>
      </c>
    </row>
    <row r="853" customHeight="1" spans="1:24">
      <c r="A853" t="s">
        <v>916</v>
      </c>
      <c r="B853">
        <v>41</v>
      </c>
      <c r="C853">
        <v>12</v>
      </c>
      <c r="D853" t="s">
        <v>60</v>
      </c>
      <c r="E853" t="s">
        <v>69</v>
      </c>
      <c r="F853" t="s">
        <v>58</v>
      </c>
      <c r="G853">
        <v>228</v>
      </c>
      <c r="H853">
        <v>9.43</v>
      </c>
      <c r="I853">
        <v>162</v>
      </c>
      <c r="J853">
        <v>757.48</v>
      </c>
      <c r="K853">
        <v>0</v>
      </c>
      <c r="L853" t="s">
        <v>62</v>
      </c>
      <c r="M853">
        <v>0</v>
      </c>
      <c r="N853">
        <v>0</v>
      </c>
      <c r="O853">
        <v>31.8</v>
      </c>
      <c r="P853">
        <v>1</v>
      </c>
      <c r="Q853">
        <v>0</v>
      </c>
      <c r="R853">
        <v>0</v>
      </c>
      <c r="S853" t="s">
        <v>57</v>
      </c>
      <c r="T853">
        <v>0</v>
      </c>
      <c r="U853">
        <v>0</v>
      </c>
      <c r="V853">
        <v>0</v>
      </c>
      <c r="W853">
        <v>0</v>
      </c>
      <c r="X853" t="s">
        <v>58</v>
      </c>
    </row>
    <row r="854" customHeight="1" spans="1:24">
      <c r="A854" t="s">
        <v>917</v>
      </c>
      <c r="B854">
        <v>44</v>
      </c>
      <c r="C854">
        <v>65</v>
      </c>
      <c r="D854" t="s">
        <v>72</v>
      </c>
      <c r="E854" t="s">
        <v>65</v>
      </c>
      <c r="F854" t="s">
        <v>58</v>
      </c>
      <c r="G854">
        <v>119</v>
      </c>
      <c r="H854">
        <v>20.7</v>
      </c>
      <c r="I854">
        <v>59</v>
      </c>
      <c r="J854">
        <v>1369.28</v>
      </c>
      <c r="K854">
        <v>0</v>
      </c>
      <c r="L854" t="s">
        <v>62</v>
      </c>
      <c r="M854">
        <v>1</v>
      </c>
      <c r="N854">
        <v>2</v>
      </c>
      <c r="O854">
        <v>25.8</v>
      </c>
      <c r="P854">
        <v>0</v>
      </c>
      <c r="Q854">
        <v>0</v>
      </c>
      <c r="R854">
        <v>0</v>
      </c>
      <c r="S854" t="s">
        <v>63</v>
      </c>
      <c r="T854">
        <v>1</v>
      </c>
      <c r="U854">
        <v>0</v>
      </c>
      <c r="V854">
        <v>0</v>
      </c>
      <c r="W854">
        <v>0</v>
      </c>
      <c r="X854" t="s">
        <v>58</v>
      </c>
    </row>
    <row r="855" customHeight="1" spans="1:24">
      <c r="A855" t="s">
        <v>918</v>
      </c>
      <c r="B855">
        <v>28</v>
      </c>
      <c r="C855">
        <v>67</v>
      </c>
      <c r="D855" t="s">
        <v>53</v>
      </c>
      <c r="E855" t="s">
        <v>69</v>
      </c>
      <c r="F855" t="s">
        <v>55</v>
      </c>
      <c r="G855">
        <v>212</v>
      </c>
      <c r="H855">
        <v>15.75</v>
      </c>
      <c r="I855">
        <v>115</v>
      </c>
      <c r="J855">
        <v>480.96</v>
      </c>
      <c r="K855">
        <v>0</v>
      </c>
      <c r="L855" t="s">
        <v>62</v>
      </c>
      <c r="M855">
        <v>3</v>
      </c>
      <c r="N855">
        <v>4</v>
      </c>
      <c r="O855">
        <v>30.8</v>
      </c>
      <c r="P855">
        <v>2</v>
      </c>
      <c r="Q855">
        <v>1</v>
      </c>
      <c r="R855">
        <v>1</v>
      </c>
      <c r="S855" t="s">
        <v>63</v>
      </c>
      <c r="T855">
        <v>1</v>
      </c>
      <c r="U855">
        <v>0</v>
      </c>
      <c r="V855">
        <v>0</v>
      </c>
      <c r="W855">
        <v>1</v>
      </c>
      <c r="X855" t="s">
        <v>55</v>
      </c>
    </row>
    <row r="856" customHeight="1" spans="1:24">
      <c r="A856" t="s">
        <v>919</v>
      </c>
      <c r="B856">
        <v>44</v>
      </c>
      <c r="C856">
        <v>53</v>
      </c>
      <c r="D856" t="s">
        <v>72</v>
      </c>
      <c r="E856" t="s">
        <v>69</v>
      </c>
      <c r="F856" t="s">
        <v>58</v>
      </c>
      <c r="G856">
        <v>417</v>
      </c>
      <c r="H856">
        <v>15.55</v>
      </c>
      <c r="I856">
        <v>101</v>
      </c>
      <c r="J856">
        <v>1143.69</v>
      </c>
      <c r="K856">
        <v>1</v>
      </c>
      <c r="L856" t="s">
        <v>56</v>
      </c>
      <c r="M856">
        <v>0</v>
      </c>
      <c r="N856">
        <v>0</v>
      </c>
      <c r="O856">
        <v>23.7</v>
      </c>
      <c r="P856">
        <v>5</v>
      </c>
      <c r="Q856">
        <v>0</v>
      </c>
      <c r="R856">
        <v>0</v>
      </c>
      <c r="S856" t="s">
        <v>63</v>
      </c>
      <c r="T856">
        <v>0</v>
      </c>
      <c r="U856">
        <v>1</v>
      </c>
      <c r="V856">
        <v>0</v>
      </c>
      <c r="W856">
        <v>0</v>
      </c>
      <c r="X856" t="s">
        <v>58</v>
      </c>
    </row>
    <row r="857" customHeight="1" spans="1:24">
      <c r="A857" t="s">
        <v>920</v>
      </c>
      <c r="B857">
        <v>57</v>
      </c>
      <c r="C857">
        <v>8</v>
      </c>
      <c r="D857" t="s">
        <v>60</v>
      </c>
      <c r="E857" t="s">
        <v>65</v>
      </c>
      <c r="F857" t="s">
        <v>58</v>
      </c>
      <c r="G857">
        <v>547</v>
      </c>
      <c r="H857">
        <v>18.49</v>
      </c>
      <c r="I857">
        <v>84</v>
      </c>
      <c r="J857">
        <v>917.76</v>
      </c>
      <c r="K857">
        <v>0</v>
      </c>
      <c r="L857" t="s">
        <v>62</v>
      </c>
      <c r="M857">
        <v>1</v>
      </c>
      <c r="N857">
        <v>1</v>
      </c>
      <c r="O857">
        <v>20.2</v>
      </c>
      <c r="P857">
        <v>3</v>
      </c>
      <c r="Q857">
        <v>1</v>
      </c>
      <c r="R857">
        <v>1</v>
      </c>
      <c r="S857" t="s">
        <v>57</v>
      </c>
      <c r="T857">
        <v>1</v>
      </c>
      <c r="U857">
        <v>0</v>
      </c>
      <c r="V857">
        <v>0</v>
      </c>
      <c r="W857">
        <v>0</v>
      </c>
      <c r="X857" t="s">
        <v>58</v>
      </c>
    </row>
    <row r="858" customHeight="1" spans="1:24">
      <c r="A858" t="s">
        <v>921</v>
      </c>
      <c r="B858">
        <v>41</v>
      </c>
      <c r="C858">
        <v>5</v>
      </c>
      <c r="D858" t="s">
        <v>72</v>
      </c>
      <c r="E858" t="s">
        <v>65</v>
      </c>
      <c r="F858" t="s">
        <v>58</v>
      </c>
      <c r="G858">
        <v>316</v>
      </c>
      <c r="H858">
        <v>18.71</v>
      </c>
      <c r="I858">
        <v>89</v>
      </c>
      <c r="J858">
        <v>1209.6</v>
      </c>
      <c r="K858">
        <v>2</v>
      </c>
      <c r="L858" t="s">
        <v>56</v>
      </c>
      <c r="M858">
        <v>1</v>
      </c>
      <c r="N858">
        <v>2</v>
      </c>
      <c r="O858">
        <v>10.9</v>
      </c>
      <c r="P858">
        <v>0</v>
      </c>
      <c r="Q858">
        <v>0</v>
      </c>
      <c r="R858">
        <v>1</v>
      </c>
      <c r="S858" t="s">
        <v>66</v>
      </c>
      <c r="T858">
        <v>1</v>
      </c>
      <c r="U858">
        <v>1</v>
      </c>
      <c r="V858">
        <v>0</v>
      </c>
      <c r="W858">
        <v>0</v>
      </c>
      <c r="X858" t="s">
        <v>58</v>
      </c>
    </row>
    <row r="859" customHeight="1" spans="1:24">
      <c r="A859" t="s">
        <v>922</v>
      </c>
      <c r="B859">
        <v>18</v>
      </c>
      <c r="C859">
        <v>5</v>
      </c>
      <c r="D859" t="s">
        <v>72</v>
      </c>
      <c r="E859" t="s">
        <v>61</v>
      </c>
      <c r="F859" t="s">
        <v>55</v>
      </c>
      <c r="G859">
        <v>636</v>
      </c>
      <c r="H859">
        <v>19.64</v>
      </c>
      <c r="I859">
        <v>198</v>
      </c>
      <c r="J859">
        <v>1035.04</v>
      </c>
      <c r="K859">
        <v>0</v>
      </c>
      <c r="L859" t="s">
        <v>62</v>
      </c>
      <c r="M859">
        <v>0</v>
      </c>
      <c r="N859">
        <v>0</v>
      </c>
      <c r="O859">
        <v>32.9</v>
      </c>
      <c r="P859">
        <v>1</v>
      </c>
      <c r="Q859">
        <v>1</v>
      </c>
      <c r="R859">
        <v>0</v>
      </c>
      <c r="S859" t="s">
        <v>66</v>
      </c>
      <c r="T859">
        <v>0</v>
      </c>
      <c r="U859">
        <v>0</v>
      </c>
      <c r="V859">
        <v>0</v>
      </c>
      <c r="W859">
        <v>1</v>
      </c>
      <c r="X859" t="s">
        <v>55</v>
      </c>
    </row>
    <row r="860" customHeight="1" spans="1:24">
      <c r="A860" t="s">
        <v>923</v>
      </c>
      <c r="B860">
        <v>58</v>
      </c>
      <c r="C860">
        <v>50</v>
      </c>
      <c r="D860" t="s">
        <v>72</v>
      </c>
      <c r="E860" t="s">
        <v>76</v>
      </c>
      <c r="F860" t="s">
        <v>58</v>
      </c>
      <c r="G860">
        <v>292</v>
      </c>
      <c r="H860">
        <v>12.01</v>
      </c>
      <c r="I860">
        <v>78</v>
      </c>
      <c r="J860">
        <v>1028.57</v>
      </c>
      <c r="K860">
        <v>1</v>
      </c>
      <c r="L860" t="s">
        <v>56</v>
      </c>
      <c r="M860">
        <v>0</v>
      </c>
      <c r="N860">
        <v>0</v>
      </c>
      <c r="O860">
        <v>23.7</v>
      </c>
      <c r="P860">
        <v>1</v>
      </c>
      <c r="Q860">
        <v>0</v>
      </c>
      <c r="R860">
        <v>0</v>
      </c>
      <c r="S860" t="s">
        <v>63</v>
      </c>
      <c r="T860">
        <v>0</v>
      </c>
      <c r="U860">
        <v>1</v>
      </c>
      <c r="V860">
        <v>0</v>
      </c>
      <c r="W860">
        <v>0</v>
      </c>
      <c r="X860" t="s">
        <v>58</v>
      </c>
    </row>
    <row r="861" customHeight="1" spans="1:24">
      <c r="A861" t="s">
        <v>924</v>
      </c>
      <c r="B861">
        <v>51</v>
      </c>
      <c r="C861">
        <v>61</v>
      </c>
      <c r="D861" t="s">
        <v>53</v>
      </c>
      <c r="E861" t="s">
        <v>54</v>
      </c>
      <c r="F861" t="s">
        <v>58</v>
      </c>
      <c r="G861">
        <v>364</v>
      </c>
      <c r="H861">
        <v>17.41</v>
      </c>
      <c r="I861">
        <v>160</v>
      </c>
      <c r="J861">
        <v>515.76</v>
      </c>
      <c r="K861">
        <v>0</v>
      </c>
      <c r="L861" t="s">
        <v>62</v>
      </c>
      <c r="M861">
        <v>1</v>
      </c>
      <c r="N861">
        <v>1</v>
      </c>
      <c r="O861">
        <v>12.9</v>
      </c>
      <c r="P861">
        <v>1</v>
      </c>
      <c r="Q861">
        <v>0</v>
      </c>
      <c r="R861">
        <v>0</v>
      </c>
      <c r="S861" t="s">
        <v>63</v>
      </c>
      <c r="T861">
        <v>1</v>
      </c>
      <c r="U861">
        <v>0</v>
      </c>
      <c r="V861">
        <v>1</v>
      </c>
      <c r="W861">
        <v>0</v>
      </c>
      <c r="X861" t="s">
        <v>58</v>
      </c>
    </row>
    <row r="862" customHeight="1" spans="1:24">
      <c r="A862" t="s">
        <v>925</v>
      </c>
      <c r="B862">
        <v>42</v>
      </c>
      <c r="C862">
        <v>46</v>
      </c>
      <c r="D862" t="s">
        <v>53</v>
      </c>
      <c r="E862" t="s">
        <v>65</v>
      </c>
      <c r="F862" t="s">
        <v>58</v>
      </c>
      <c r="G862">
        <v>238</v>
      </c>
      <c r="H862">
        <v>16.81</v>
      </c>
      <c r="I862">
        <v>142</v>
      </c>
      <c r="J862">
        <v>518.32</v>
      </c>
      <c r="K862">
        <v>0</v>
      </c>
      <c r="L862" t="s">
        <v>62</v>
      </c>
      <c r="M862">
        <v>1</v>
      </c>
      <c r="N862">
        <v>4</v>
      </c>
      <c r="O862">
        <v>30.4</v>
      </c>
      <c r="P862">
        <v>1</v>
      </c>
      <c r="Q862">
        <v>0</v>
      </c>
      <c r="R862">
        <v>1</v>
      </c>
      <c r="S862" t="s">
        <v>63</v>
      </c>
      <c r="T862">
        <v>1</v>
      </c>
      <c r="U862">
        <v>0</v>
      </c>
      <c r="V862">
        <v>0</v>
      </c>
      <c r="W862">
        <v>0</v>
      </c>
      <c r="X862" t="s">
        <v>58</v>
      </c>
    </row>
    <row r="863" customHeight="1" spans="1:24">
      <c r="A863" t="s">
        <v>926</v>
      </c>
      <c r="B863">
        <v>19</v>
      </c>
      <c r="C863">
        <v>19</v>
      </c>
      <c r="D863" t="s">
        <v>53</v>
      </c>
      <c r="E863" t="s">
        <v>61</v>
      </c>
      <c r="F863" t="s">
        <v>58</v>
      </c>
      <c r="G863">
        <v>549</v>
      </c>
      <c r="H863">
        <v>17.55</v>
      </c>
      <c r="I863">
        <v>22</v>
      </c>
      <c r="J863">
        <v>666.2</v>
      </c>
      <c r="K863">
        <v>1</v>
      </c>
      <c r="L863" t="s">
        <v>56</v>
      </c>
      <c r="M863">
        <v>0</v>
      </c>
      <c r="N863">
        <v>2</v>
      </c>
      <c r="O863">
        <v>16.4</v>
      </c>
      <c r="P863">
        <v>1</v>
      </c>
      <c r="Q863">
        <v>2</v>
      </c>
      <c r="R863">
        <v>0</v>
      </c>
      <c r="S863" t="s">
        <v>57</v>
      </c>
      <c r="T863">
        <v>0</v>
      </c>
      <c r="U863">
        <v>1</v>
      </c>
      <c r="V863">
        <v>0</v>
      </c>
      <c r="W863">
        <v>0</v>
      </c>
      <c r="X863" t="s">
        <v>58</v>
      </c>
    </row>
    <row r="864" customHeight="1" spans="1:24">
      <c r="A864" t="s">
        <v>927</v>
      </c>
      <c r="B864">
        <v>23</v>
      </c>
      <c r="C864">
        <v>55</v>
      </c>
      <c r="D864" t="s">
        <v>53</v>
      </c>
      <c r="E864" t="s">
        <v>76</v>
      </c>
      <c r="F864" t="s">
        <v>55</v>
      </c>
      <c r="G864">
        <v>715</v>
      </c>
      <c r="H864">
        <v>13.61</v>
      </c>
      <c r="I864">
        <v>156</v>
      </c>
      <c r="J864">
        <v>486.12</v>
      </c>
      <c r="K864">
        <v>1</v>
      </c>
      <c r="L864" t="s">
        <v>56</v>
      </c>
      <c r="M864">
        <v>1</v>
      </c>
      <c r="N864">
        <v>1</v>
      </c>
      <c r="O864">
        <v>12.9</v>
      </c>
      <c r="P864">
        <v>3</v>
      </c>
      <c r="Q864">
        <v>1</v>
      </c>
      <c r="R864">
        <v>0</v>
      </c>
      <c r="S864" t="s">
        <v>63</v>
      </c>
      <c r="T864">
        <v>1</v>
      </c>
      <c r="U864">
        <v>1</v>
      </c>
      <c r="V864">
        <v>0</v>
      </c>
      <c r="W864">
        <v>1</v>
      </c>
      <c r="X864" t="s">
        <v>55</v>
      </c>
    </row>
    <row r="865" customHeight="1" spans="1:24">
      <c r="A865" t="s">
        <v>928</v>
      </c>
      <c r="B865">
        <v>22</v>
      </c>
      <c r="C865">
        <v>5</v>
      </c>
      <c r="D865" t="s">
        <v>60</v>
      </c>
      <c r="E865" t="s">
        <v>54</v>
      </c>
      <c r="F865" t="s">
        <v>55</v>
      </c>
      <c r="G865">
        <v>136</v>
      </c>
      <c r="H865">
        <v>17.41</v>
      </c>
      <c r="I865">
        <v>21</v>
      </c>
      <c r="J865">
        <v>775.96</v>
      </c>
      <c r="K865">
        <v>1</v>
      </c>
      <c r="L865" t="s">
        <v>56</v>
      </c>
      <c r="M865">
        <v>0</v>
      </c>
      <c r="N865">
        <v>0</v>
      </c>
      <c r="O865">
        <v>34.9</v>
      </c>
      <c r="P865">
        <v>2</v>
      </c>
      <c r="Q865">
        <v>0</v>
      </c>
      <c r="R865">
        <v>0</v>
      </c>
      <c r="S865" t="s">
        <v>66</v>
      </c>
      <c r="T865">
        <v>0</v>
      </c>
      <c r="U865">
        <v>1</v>
      </c>
      <c r="V865">
        <v>1</v>
      </c>
      <c r="W865">
        <v>1</v>
      </c>
      <c r="X865" t="s">
        <v>55</v>
      </c>
    </row>
    <row r="866" customHeight="1" spans="1:24">
      <c r="A866" t="s">
        <v>929</v>
      </c>
      <c r="B866">
        <v>67</v>
      </c>
      <c r="C866">
        <v>60</v>
      </c>
      <c r="D866" t="s">
        <v>72</v>
      </c>
      <c r="E866" t="s">
        <v>54</v>
      </c>
      <c r="F866" t="s">
        <v>55</v>
      </c>
      <c r="G866">
        <v>348</v>
      </c>
      <c r="H866">
        <v>0.5</v>
      </c>
      <c r="I866">
        <v>164</v>
      </c>
      <c r="J866">
        <v>1103.32</v>
      </c>
      <c r="K866">
        <v>1</v>
      </c>
      <c r="L866" t="s">
        <v>56</v>
      </c>
      <c r="M866">
        <v>2</v>
      </c>
      <c r="N866">
        <v>4</v>
      </c>
      <c r="O866">
        <v>35.4</v>
      </c>
      <c r="P866">
        <v>1</v>
      </c>
      <c r="Q866">
        <v>1</v>
      </c>
      <c r="R866">
        <v>0</v>
      </c>
      <c r="S866" t="s">
        <v>63</v>
      </c>
      <c r="T866">
        <v>1</v>
      </c>
      <c r="U866">
        <v>1</v>
      </c>
      <c r="V866">
        <v>1</v>
      </c>
      <c r="W866">
        <v>1</v>
      </c>
      <c r="X866" t="s">
        <v>55</v>
      </c>
    </row>
    <row r="867" customHeight="1" spans="1:24">
      <c r="A867" t="s">
        <v>930</v>
      </c>
      <c r="B867">
        <v>35</v>
      </c>
      <c r="C867">
        <v>65</v>
      </c>
      <c r="D867" t="s">
        <v>72</v>
      </c>
      <c r="E867" t="s">
        <v>54</v>
      </c>
      <c r="F867" t="s">
        <v>55</v>
      </c>
      <c r="G867">
        <v>590</v>
      </c>
      <c r="H867">
        <v>10.7</v>
      </c>
      <c r="I867">
        <v>84</v>
      </c>
      <c r="J867">
        <v>1352.65</v>
      </c>
      <c r="K867">
        <v>0</v>
      </c>
      <c r="L867" t="s">
        <v>62</v>
      </c>
      <c r="M867">
        <v>1</v>
      </c>
      <c r="N867">
        <v>1</v>
      </c>
      <c r="O867">
        <v>32.7</v>
      </c>
      <c r="P867">
        <v>0</v>
      </c>
      <c r="Q867">
        <v>0</v>
      </c>
      <c r="R867">
        <v>0</v>
      </c>
      <c r="S867" t="s">
        <v>63</v>
      </c>
      <c r="T867">
        <v>1</v>
      </c>
      <c r="U867">
        <v>0</v>
      </c>
      <c r="V867">
        <v>0</v>
      </c>
      <c r="W867">
        <v>1</v>
      </c>
      <c r="X867" t="s">
        <v>55</v>
      </c>
    </row>
    <row r="868" customHeight="1" spans="1:24">
      <c r="A868" t="s">
        <v>931</v>
      </c>
      <c r="B868">
        <v>42</v>
      </c>
      <c r="C868">
        <v>52</v>
      </c>
      <c r="D868" t="s">
        <v>60</v>
      </c>
      <c r="E868" t="s">
        <v>76</v>
      </c>
      <c r="F868" t="s">
        <v>55</v>
      </c>
      <c r="G868">
        <v>183</v>
      </c>
      <c r="H868">
        <v>15.2</v>
      </c>
      <c r="I868">
        <v>121</v>
      </c>
      <c r="J868">
        <v>512.19</v>
      </c>
      <c r="K868">
        <v>1</v>
      </c>
      <c r="L868" t="s">
        <v>56</v>
      </c>
      <c r="M868">
        <v>0</v>
      </c>
      <c r="N868">
        <v>0</v>
      </c>
      <c r="O868">
        <v>34.2</v>
      </c>
      <c r="P868">
        <v>2</v>
      </c>
      <c r="Q868">
        <v>0</v>
      </c>
      <c r="R868">
        <v>0</v>
      </c>
      <c r="S868" t="s">
        <v>63</v>
      </c>
      <c r="T868">
        <v>0</v>
      </c>
      <c r="U868">
        <v>1</v>
      </c>
      <c r="V868">
        <v>0</v>
      </c>
      <c r="W868">
        <v>1</v>
      </c>
      <c r="X868" t="s">
        <v>55</v>
      </c>
    </row>
    <row r="869" customHeight="1" spans="1:24">
      <c r="A869" t="s">
        <v>932</v>
      </c>
      <c r="B869">
        <v>58</v>
      </c>
      <c r="C869">
        <v>64</v>
      </c>
      <c r="D869" t="s">
        <v>60</v>
      </c>
      <c r="E869" t="s">
        <v>69</v>
      </c>
      <c r="F869" t="s">
        <v>55</v>
      </c>
      <c r="G869">
        <v>485</v>
      </c>
      <c r="H869">
        <v>9.44</v>
      </c>
      <c r="I869">
        <v>29</v>
      </c>
      <c r="J869">
        <v>782.63</v>
      </c>
      <c r="K869">
        <v>0</v>
      </c>
      <c r="L869" t="s">
        <v>62</v>
      </c>
      <c r="M869">
        <v>0</v>
      </c>
      <c r="N869">
        <v>3</v>
      </c>
      <c r="O869">
        <v>21.2</v>
      </c>
      <c r="P869">
        <v>2</v>
      </c>
      <c r="Q869">
        <v>1</v>
      </c>
      <c r="R869">
        <v>1</v>
      </c>
      <c r="S869" t="s">
        <v>63</v>
      </c>
      <c r="T869">
        <v>0</v>
      </c>
      <c r="U869">
        <v>0</v>
      </c>
      <c r="V869">
        <v>0</v>
      </c>
      <c r="W869">
        <v>1</v>
      </c>
      <c r="X869" t="s">
        <v>55</v>
      </c>
    </row>
    <row r="870" customHeight="1" spans="1:24">
      <c r="A870" t="s">
        <v>933</v>
      </c>
      <c r="B870">
        <v>56</v>
      </c>
      <c r="C870">
        <v>43</v>
      </c>
      <c r="D870" t="s">
        <v>72</v>
      </c>
      <c r="E870" t="s">
        <v>65</v>
      </c>
      <c r="F870" t="s">
        <v>58</v>
      </c>
      <c r="G870">
        <v>583</v>
      </c>
      <c r="H870">
        <v>34.29</v>
      </c>
      <c r="I870">
        <v>129</v>
      </c>
      <c r="J870">
        <v>994.95</v>
      </c>
      <c r="K870">
        <v>1</v>
      </c>
      <c r="L870" t="s">
        <v>56</v>
      </c>
      <c r="M870">
        <v>0</v>
      </c>
      <c r="N870">
        <v>1</v>
      </c>
      <c r="O870">
        <v>21.5</v>
      </c>
      <c r="P870">
        <v>0</v>
      </c>
      <c r="Q870">
        <v>0</v>
      </c>
      <c r="R870">
        <v>0</v>
      </c>
      <c r="S870" t="s">
        <v>63</v>
      </c>
      <c r="T870">
        <v>0</v>
      </c>
      <c r="U870">
        <v>1</v>
      </c>
      <c r="V870">
        <v>0</v>
      </c>
      <c r="W870">
        <v>0</v>
      </c>
      <c r="X870" t="s">
        <v>58</v>
      </c>
    </row>
    <row r="871" customHeight="1" spans="1:24">
      <c r="A871" t="s">
        <v>934</v>
      </c>
      <c r="B871">
        <v>21</v>
      </c>
      <c r="C871">
        <v>34</v>
      </c>
      <c r="D871" t="s">
        <v>72</v>
      </c>
      <c r="E871" t="s">
        <v>65</v>
      </c>
      <c r="F871" t="s">
        <v>58</v>
      </c>
      <c r="G871">
        <v>412</v>
      </c>
      <c r="H871">
        <v>18.19</v>
      </c>
      <c r="I871">
        <v>185</v>
      </c>
      <c r="J871">
        <v>1223.79</v>
      </c>
      <c r="K871">
        <v>1</v>
      </c>
      <c r="L871" t="s">
        <v>56</v>
      </c>
      <c r="M871">
        <v>0</v>
      </c>
      <c r="N871">
        <v>0</v>
      </c>
      <c r="O871">
        <v>16.2</v>
      </c>
      <c r="P871">
        <v>3</v>
      </c>
      <c r="Q871">
        <v>1</v>
      </c>
      <c r="R871">
        <v>0</v>
      </c>
      <c r="S871" t="s">
        <v>63</v>
      </c>
      <c r="T871">
        <v>0</v>
      </c>
      <c r="U871">
        <v>1</v>
      </c>
      <c r="V871">
        <v>0</v>
      </c>
      <c r="W871">
        <v>0</v>
      </c>
      <c r="X871" t="s">
        <v>58</v>
      </c>
    </row>
    <row r="872" customHeight="1" spans="1:24">
      <c r="A872" t="s">
        <v>935</v>
      </c>
      <c r="B872">
        <v>71</v>
      </c>
      <c r="C872">
        <v>24</v>
      </c>
      <c r="D872" t="s">
        <v>53</v>
      </c>
      <c r="E872" t="s">
        <v>54</v>
      </c>
      <c r="F872" t="s">
        <v>58</v>
      </c>
      <c r="G872">
        <v>483</v>
      </c>
      <c r="H872">
        <v>19.77</v>
      </c>
      <c r="I872">
        <v>64</v>
      </c>
      <c r="J872">
        <v>459.68</v>
      </c>
      <c r="K872">
        <v>1</v>
      </c>
      <c r="L872" t="s">
        <v>56</v>
      </c>
      <c r="M872">
        <v>0</v>
      </c>
      <c r="N872">
        <v>1</v>
      </c>
      <c r="O872">
        <v>26</v>
      </c>
      <c r="P872">
        <v>1</v>
      </c>
      <c r="Q872">
        <v>0</v>
      </c>
      <c r="R872">
        <v>1</v>
      </c>
      <c r="S872" t="s">
        <v>57</v>
      </c>
      <c r="T872">
        <v>0</v>
      </c>
      <c r="U872">
        <v>1</v>
      </c>
      <c r="V872">
        <v>0</v>
      </c>
      <c r="W872">
        <v>0</v>
      </c>
      <c r="X872" t="s">
        <v>58</v>
      </c>
    </row>
    <row r="873" customHeight="1" spans="1:24">
      <c r="A873" t="s">
        <v>936</v>
      </c>
      <c r="B873">
        <v>33</v>
      </c>
      <c r="C873">
        <v>67</v>
      </c>
      <c r="D873" t="s">
        <v>60</v>
      </c>
      <c r="E873" t="s">
        <v>69</v>
      </c>
      <c r="F873" t="s">
        <v>58</v>
      </c>
      <c r="G873">
        <v>664</v>
      </c>
      <c r="H873">
        <v>13.17</v>
      </c>
      <c r="I873">
        <v>77</v>
      </c>
      <c r="J873">
        <v>747.13</v>
      </c>
      <c r="K873">
        <v>0</v>
      </c>
      <c r="L873" t="s">
        <v>62</v>
      </c>
      <c r="M873">
        <v>1</v>
      </c>
      <c r="N873">
        <v>1</v>
      </c>
      <c r="O873">
        <v>17.7</v>
      </c>
      <c r="P873">
        <v>1</v>
      </c>
      <c r="Q873">
        <v>2</v>
      </c>
      <c r="R873">
        <v>0</v>
      </c>
      <c r="S873" t="s">
        <v>63</v>
      </c>
      <c r="T873">
        <v>1</v>
      </c>
      <c r="U873">
        <v>0</v>
      </c>
      <c r="V873">
        <v>0</v>
      </c>
      <c r="W873">
        <v>0</v>
      </c>
      <c r="X873" t="s">
        <v>58</v>
      </c>
    </row>
    <row r="874" customHeight="1" spans="1:24">
      <c r="A874" t="s">
        <v>937</v>
      </c>
      <c r="B874">
        <v>62</v>
      </c>
      <c r="C874">
        <v>51</v>
      </c>
      <c r="D874" t="s">
        <v>72</v>
      </c>
      <c r="E874" t="s">
        <v>61</v>
      </c>
      <c r="F874" t="s">
        <v>58</v>
      </c>
      <c r="G874">
        <v>692</v>
      </c>
      <c r="H874">
        <v>17.84</v>
      </c>
      <c r="I874">
        <v>152</v>
      </c>
      <c r="J874">
        <v>1310.88</v>
      </c>
      <c r="K874">
        <v>1</v>
      </c>
      <c r="L874" t="s">
        <v>56</v>
      </c>
      <c r="M874">
        <v>1</v>
      </c>
      <c r="N874">
        <v>1</v>
      </c>
      <c r="O874">
        <v>18.8</v>
      </c>
      <c r="P874">
        <v>3</v>
      </c>
      <c r="Q874">
        <v>0</v>
      </c>
      <c r="R874">
        <v>0</v>
      </c>
      <c r="S874" t="s">
        <v>63</v>
      </c>
      <c r="T874">
        <v>1</v>
      </c>
      <c r="U874">
        <v>1</v>
      </c>
      <c r="V874">
        <v>0</v>
      </c>
      <c r="W874">
        <v>0</v>
      </c>
      <c r="X874" t="s">
        <v>58</v>
      </c>
    </row>
    <row r="875" customHeight="1" spans="1:24">
      <c r="A875" t="s">
        <v>938</v>
      </c>
      <c r="B875">
        <v>66</v>
      </c>
      <c r="C875">
        <v>14</v>
      </c>
      <c r="D875" t="s">
        <v>53</v>
      </c>
      <c r="E875" t="s">
        <v>54</v>
      </c>
      <c r="F875" t="s">
        <v>58</v>
      </c>
      <c r="G875">
        <v>391</v>
      </c>
      <c r="H875">
        <v>5.85</v>
      </c>
      <c r="I875">
        <v>154</v>
      </c>
      <c r="J875">
        <v>438.68</v>
      </c>
      <c r="K875">
        <v>0</v>
      </c>
      <c r="L875" t="s">
        <v>62</v>
      </c>
      <c r="M875">
        <v>0</v>
      </c>
      <c r="N875">
        <v>0</v>
      </c>
      <c r="O875">
        <v>23.7</v>
      </c>
      <c r="P875">
        <v>0</v>
      </c>
      <c r="Q875">
        <v>0</v>
      </c>
      <c r="R875">
        <v>0</v>
      </c>
      <c r="S875" t="s">
        <v>57</v>
      </c>
      <c r="T875">
        <v>0</v>
      </c>
      <c r="U875">
        <v>0</v>
      </c>
      <c r="V875">
        <v>0</v>
      </c>
      <c r="W875">
        <v>0</v>
      </c>
      <c r="X875" t="s">
        <v>58</v>
      </c>
    </row>
    <row r="876" customHeight="1" spans="1:24">
      <c r="A876" t="s">
        <v>939</v>
      </c>
      <c r="B876">
        <v>49</v>
      </c>
      <c r="C876">
        <v>69</v>
      </c>
      <c r="D876" t="s">
        <v>60</v>
      </c>
      <c r="E876" t="s">
        <v>69</v>
      </c>
      <c r="F876" t="s">
        <v>58</v>
      </c>
      <c r="G876">
        <v>320</v>
      </c>
      <c r="H876">
        <v>16.3</v>
      </c>
      <c r="I876">
        <v>0</v>
      </c>
      <c r="J876">
        <v>695.79</v>
      </c>
      <c r="K876">
        <v>0</v>
      </c>
      <c r="L876" t="s">
        <v>62</v>
      </c>
      <c r="M876">
        <v>2</v>
      </c>
      <c r="N876">
        <v>3</v>
      </c>
      <c r="O876">
        <v>38.2</v>
      </c>
      <c r="P876">
        <v>1</v>
      </c>
      <c r="Q876">
        <v>0</v>
      </c>
      <c r="R876">
        <v>0</v>
      </c>
      <c r="S876" t="s">
        <v>63</v>
      </c>
      <c r="T876">
        <v>1</v>
      </c>
      <c r="U876">
        <v>0</v>
      </c>
      <c r="V876">
        <v>0</v>
      </c>
      <c r="W876">
        <v>0</v>
      </c>
      <c r="X876" t="s">
        <v>58</v>
      </c>
    </row>
    <row r="877" customHeight="1" spans="1:24">
      <c r="A877" t="s">
        <v>940</v>
      </c>
      <c r="B877">
        <v>27</v>
      </c>
      <c r="C877">
        <v>5</v>
      </c>
      <c r="D877" t="s">
        <v>72</v>
      </c>
      <c r="E877" t="s">
        <v>65</v>
      </c>
      <c r="F877" t="s">
        <v>58</v>
      </c>
      <c r="G877">
        <v>262</v>
      </c>
      <c r="H877">
        <v>8.63</v>
      </c>
      <c r="I877">
        <v>261</v>
      </c>
      <c r="J877">
        <v>860.27</v>
      </c>
      <c r="K877">
        <v>0</v>
      </c>
      <c r="L877" t="s">
        <v>62</v>
      </c>
      <c r="M877">
        <v>0</v>
      </c>
      <c r="N877">
        <v>0</v>
      </c>
      <c r="O877">
        <v>28.8</v>
      </c>
      <c r="P877">
        <v>0</v>
      </c>
      <c r="Q877">
        <v>2</v>
      </c>
      <c r="R877">
        <v>0</v>
      </c>
      <c r="S877" t="s">
        <v>66</v>
      </c>
      <c r="T877">
        <v>0</v>
      </c>
      <c r="U877">
        <v>0</v>
      </c>
      <c r="V877">
        <v>0</v>
      </c>
      <c r="W877">
        <v>0</v>
      </c>
      <c r="X877" t="s">
        <v>58</v>
      </c>
    </row>
    <row r="878" customHeight="1" spans="1:24">
      <c r="A878" t="s">
        <v>941</v>
      </c>
      <c r="B878">
        <v>49</v>
      </c>
      <c r="C878">
        <v>43</v>
      </c>
      <c r="D878" t="s">
        <v>72</v>
      </c>
      <c r="E878" t="s">
        <v>61</v>
      </c>
      <c r="F878" t="s">
        <v>58</v>
      </c>
      <c r="G878">
        <v>547</v>
      </c>
      <c r="H878">
        <v>15.23</v>
      </c>
      <c r="I878">
        <v>157</v>
      </c>
      <c r="J878">
        <v>1188.01</v>
      </c>
      <c r="K878">
        <v>0</v>
      </c>
      <c r="L878" t="s">
        <v>62</v>
      </c>
      <c r="M878">
        <v>0</v>
      </c>
      <c r="N878">
        <v>0</v>
      </c>
      <c r="O878">
        <v>45.5</v>
      </c>
      <c r="P878">
        <v>0</v>
      </c>
      <c r="Q878">
        <v>1</v>
      </c>
      <c r="R878">
        <v>1</v>
      </c>
      <c r="S878" t="s">
        <v>63</v>
      </c>
      <c r="T878">
        <v>0</v>
      </c>
      <c r="U878">
        <v>0</v>
      </c>
      <c r="V878">
        <v>0</v>
      </c>
      <c r="W878">
        <v>0</v>
      </c>
      <c r="X878" t="s">
        <v>58</v>
      </c>
    </row>
    <row r="879" customHeight="1" spans="1:24">
      <c r="A879" t="s">
        <v>942</v>
      </c>
      <c r="B879">
        <v>32</v>
      </c>
      <c r="C879">
        <v>14</v>
      </c>
      <c r="D879" t="s">
        <v>72</v>
      </c>
      <c r="E879" t="s">
        <v>54</v>
      </c>
      <c r="F879" t="s">
        <v>58</v>
      </c>
      <c r="G879">
        <v>194</v>
      </c>
      <c r="H879">
        <v>0.5</v>
      </c>
      <c r="I879">
        <v>169</v>
      </c>
      <c r="J879">
        <v>1254.2</v>
      </c>
      <c r="K879">
        <v>0</v>
      </c>
      <c r="L879" t="s">
        <v>62</v>
      </c>
      <c r="M879">
        <v>1</v>
      </c>
      <c r="N879">
        <v>1</v>
      </c>
      <c r="O879">
        <v>15.5</v>
      </c>
      <c r="P879">
        <v>1</v>
      </c>
      <c r="Q879">
        <v>0</v>
      </c>
      <c r="R879">
        <v>1</v>
      </c>
      <c r="S879" t="s">
        <v>57</v>
      </c>
      <c r="T879">
        <v>1</v>
      </c>
      <c r="U879">
        <v>0</v>
      </c>
      <c r="V879">
        <v>1</v>
      </c>
      <c r="W879">
        <v>0</v>
      </c>
      <c r="X879" t="s">
        <v>58</v>
      </c>
    </row>
    <row r="880" customHeight="1" spans="1:24">
      <c r="A880" t="s">
        <v>943</v>
      </c>
      <c r="B880">
        <v>67</v>
      </c>
      <c r="C880">
        <v>48</v>
      </c>
      <c r="D880" t="s">
        <v>72</v>
      </c>
      <c r="E880" t="s">
        <v>65</v>
      </c>
      <c r="F880" t="s">
        <v>58</v>
      </c>
      <c r="G880">
        <v>362</v>
      </c>
      <c r="H880">
        <v>6.72</v>
      </c>
      <c r="I880">
        <v>110</v>
      </c>
      <c r="J880">
        <v>921.01</v>
      </c>
      <c r="K880">
        <v>1</v>
      </c>
      <c r="L880" t="s">
        <v>56</v>
      </c>
      <c r="M880">
        <v>0</v>
      </c>
      <c r="N880">
        <v>0</v>
      </c>
      <c r="O880">
        <v>1.9</v>
      </c>
      <c r="P880">
        <v>1</v>
      </c>
      <c r="Q880">
        <v>1</v>
      </c>
      <c r="R880">
        <v>0</v>
      </c>
      <c r="S880" t="s">
        <v>63</v>
      </c>
      <c r="T880">
        <v>0</v>
      </c>
      <c r="U880">
        <v>1</v>
      </c>
      <c r="V880">
        <v>0</v>
      </c>
      <c r="W880">
        <v>0</v>
      </c>
      <c r="X880" t="s">
        <v>58</v>
      </c>
    </row>
    <row r="881" customHeight="1" spans="1:24">
      <c r="A881" t="s">
        <v>944</v>
      </c>
      <c r="B881">
        <v>61</v>
      </c>
      <c r="C881">
        <v>30</v>
      </c>
      <c r="D881" t="s">
        <v>53</v>
      </c>
      <c r="E881" t="s">
        <v>61</v>
      </c>
      <c r="F881" t="s">
        <v>58</v>
      </c>
      <c r="G881">
        <v>415</v>
      </c>
      <c r="H881">
        <v>32.64</v>
      </c>
      <c r="I881">
        <v>0</v>
      </c>
      <c r="J881">
        <v>461.59</v>
      </c>
      <c r="K881">
        <v>0</v>
      </c>
      <c r="L881" t="s">
        <v>62</v>
      </c>
      <c r="M881">
        <v>1</v>
      </c>
      <c r="N881">
        <v>2</v>
      </c>
      <c r="O881">
        <v>32.6</v>
      </c>
      <c r="P881">
        <v>1</v>
      </c>
      <c r="Q881">
        <v>0</v>
      </c>
      <c r="R881">
        <v>0</v>
      </c>
      <c r="S881" t="s">
        <v>63</v>
      </c>
      <c r="T881">
        <v>1</v>
      </c>
      <c r="U881">
        <v>0</v>
      </c>
      <c r="V881">
        <v>0</v>
      </c>
      <c r="W881">
        <v>0</v>
      </c>
      <c r="X881" t="s">
        <v>58</v>
      </c>
    </row>
    <row r="882" customHeight="1" spans="1:24">
      <c r="A882" t="s">
        <v>945</v>
      </c>
      <c r="B882">
        <v>65</v>
      </c>
      <c r="C882">
        <v>32</v>
      </c>
      <c r="D882" t="s">
        <v>53</v>
      </c>
      <c r="E882" t="s">
        <v>61</v>
      </c>
      <c r="F882" t="s">
        <v>58</v>
      </c>
      <c r="G882">
        <v>325</v>
      </c>
      <c r="H882">
        <v>26.3</v>
      </c>
      <c r="I882">
        <v>167</v>
      </c>
      <c r="J882">
        <v>504.52</v>
      </c>
      <c r="K882">
        <v>0</v>
      </c>
      <c r="L882" t="s">
        <v>62</v>
      </c>
      <c r="M882">
        <v>0</v>
      </c>
      <c r="N882">
        <v>0</v>
      </c>
      <c r="O882">
        <v>14.7</v>
      </c>
      <c r="P882">
        <v>2</v>
      </c>
      <c r="Q882">
        <v>1</v>
      </c>
      <c r="R882">
        <v>0</v>
      </c>
      <c r="S882" t="s">
        <v>63</v>
      </c>
      <c r="T882">
        <v>0</v>
      </c>
      <c r="U882">
        <v>0</v>
      </c>
      <c r="V882">
        <v>0</v>
      </c>
      <c r="W882">
        <v>0</v>
      </c>
      <c r="X882" t="s">
        <v>58</v>
      </c>
    </row>
    <row r="883" customHeight="1" spans="1:24">
      <c r="A883" t="s">
        <v>946</v>
      </c>
      <c r="B883">
        <v>66</v>
      </c>
      <c r="C883">
        <v>49</v>
      </c>
      <c r="D883" t="s">
        <v>60</v>
      </c>
      <c r="E883" t="s">
        <v>76</v>
      </c>
      <c r="F883" t="s">
        <v>55</v>
      </c>
      <c r="G883">
        <v>442</v>
      </c>
      <c r="H883">
        <v>31.19</v>
      </c>
      <c r="I883">
        <v>80</v>
      </c>
      <c r="J883">
        <v>656.68</v>
      </c>
      <c r="K883">
        <v>0</v>
      </c>
      <c r="L883" t="s">
        <v>62</v>
      </c>
      <c r="M883">
        <v>3</v>
      </c>
      <c r="N883">
        <v>5</v>
      </c>
      <c r="O883">
        <v>20.7</v>
      </c>
      <c r="P883">
        <v>1</v>
      </c>
      <c r="Q883">
        <v>0</v>
      </c>
      <c r="R883">
        <v>1</v>
      </c>
      <c r="S883" t="s">
        <v>63</v>
      </c>
      <c r="T883">
        <v>1</v>
      </c>
      <c r="U883">
        <v>0</v>
      </c>
      <c r="V883">
        <v>0</v>
      </c>
      <c r="W883">
        <v>1</v>
      </c>
      <c r="X883" t="s">
        <v>55</v>
      </c>
    </row>
    <row r="884" customHeight="1" spans="1:24">
      <c r="A884" t="s">
        <v>947</v>
      </c>
      <c r="B884">
        <v>28</v>
      </c>
      <c r="C884">
        <v>55</v>
      </c>
      <c r="D884" t="s">
        <v>60</v>
      </c>
      <c r="E884" t="s">
        <v>76</v>
      </c>
      <c r="F884" t="s">
        <v>55</v>
      </c>
      <c r="G884">
        <v>785</v>
      </c>
      <c r="H884">
        <v>31.88</v>
      </c>
      <c r="I884">
        <v>158</v>
      </c>
      <c r="J884">
        <v>705.75</v>
      </c>
      <c r="K884">
        <v>0</v>
      </c>
      <c r="L884" t="s">
        <v>62</v>
      </c>
      <c r="M884">
        <v>0</v>
      </c>
      <c r="N884">
        <v>0</v>
      </c>
      <c r="O884">
        <v>2.8</v>
      </c>
      <c r="P884">
        <v>1</v>
      </c>
      <c r="Q884">
        <v>0</v>
      </c>
      <c r="R884">
        <v>1</v>
      </c>
      <c r="S884" t="s">
        <v>63</v>
      </c>
      <c r="T884">
        <v>0</v>
      </c>
      <c r="U884">
        <v>0</v>
      </c>
      <c r="V884">
        <v>0</v>
      </c>
      <c r="W884">
        <v>1</v>
      </c>
      <c r="X884" t="s">
        <v>55</v>
      </c>
    </row>
    <row r="885" customHeight="1" spans="1:24">
      <c r="A885" t="s">
        <v>948</v>
      </c>
      <c r="B885">
        <v>19</v>
      </c>
      <c r="C885">
        <v>28</v>
      </c>
      <c r="D885" t="s">
        <v>60</v>
      </c>
      <c r="E885" t="s">
        <v>61</v>
      </c>
      <c r="F885" t="s">
        <v>55</v>
      </c>
      <c r="G885">
        <v>382</v>
      </c>
      <c r="H885">
        <v>17.41</v>
      </c>
      <c r="I885">
        <v>105</v>
      </c>
      <c r="J885">
        <v>854.51</v>
      </c>
      <c r="K885">
        <v>2</v>
      </c>
      <c r="L885" t="s">
        <v>56</v>
      </c>
      <c r="M885">
        <v>0</v>
      </c>
      <c r="N885">
        <v>0</v>
      </c>
      <c r="O885">
        <v>13.2</v>
      </c>
      <c r="P885">
        <v>0</v>
      </c>
      <c r="Q885">
        <v>0</v>
      </c>
      <c r="R885">
        <v>0</v>
      </c>
      <c r="S885" t="s">
        <v>63</v>
      </c>
      <c r="T885">
        <v>0</v>
      </c>
      <c r="U885">
        <v>1</v>
      </c>
      <c r="V885">
        <v>1</v>
      </c>
      <c r="W885">
        <v>1</v>
      </c>
      <c r="X885" t="s">
        <v>55</v>
      </c>
    </row>
    <row r="886" customHeight="1" spans="1:24">
      <c r="A886" t="s">
        <v>949</v>
      </c>
      <c r="B886">
        <v>54</v>
      </c>
      <c r="C886">
        <v>72</v>
      </c>
      <c r="D886" t="s">
        <v>60</v>
      </c>
      <c r="E886" t="s">
        <v>76</v>
      </c>
      <c r="F886" t="s">
        <v>58</v>
      </c>
      <c r="G886">
        <v>335</v>
      </c>
      <c r="H886">
        <v>13.47</v>
      </c>
      <c r="I886">
        <v>137</v>
      </c>
      <c r="J886">
        <v>797.2</v>
      </c>
      <c r="K886">
        <v>1</v>
      </c>
      <c r="L886" t="s">
        <v>56</v>
      </c>
      <c r="M886">
        <v>0</v>
      </c>
      <c r="N886">
        <v>0</v>
      </c>
      <c r="O886">
        <v>23.7</v>
      </c>
      <c r="P886">
        <v>1</v>
      </c>
      <c r="Q886">
        <v>0</v>
      </c>
      <c r="R886">
        <v>0</v>
      </c>
      <c r="S886" t="s">
        <v>63</v>
      </c>
      <c r="T886">
        <v>0</v>
      </c>
      <c r="U886">
        <v>1</v>
      </c>
      <c r="V886">
        <v>0</v>
      </c>
      <c r="W886">
        <v>0</v>
      </c>
      <c r="X886" t="s">
        <v>58</v>
      </c>
    </row>
    <row r="887" customHeight="1" spans="1:24">
      <c r="A887" t="s">
        <v>950</v>
      </c>
      <c r="B887">
        <v>53</v>
      </c>
      <c r="C887">
        <v>36</v>
      </c>
      <c r="D887" t="s">
        <v>60</v>
      </c>
      <c r="E887" t="s">
        <v>65</v>
      </c>
      <c r="F887" t="s">
        <v>58</v>
      </c>
      <c r="G887">
        <v>552</v>
      </c>
      <c r="H887">
        <v>7.63</v>
      </c>
      <c r="I887">
        <v>66</v>
      </c>
      <c r="J887">
        <v>806.84</v>
      </c>
      <c r="K887">
        <v>0</v>
      </c>
      <c r="L887" t="s">
        <v>62</v>
      </c>
      <c r="M887">
        <v>0</v>
      </c>
      <c r="N887">
        <v>1</v>
      </c>
      <c r="O887">
        <v>18.8</v>
      </c>
      <c r="P887">
        <v>1</v>
      </c>
      <c r="Q887">
        <v>0</v>
      </c>
      <c r="R887">
        <v>1</v>
      </c>
      <c r="S887" t="s">
        <v>63</v>
      </c>
      <c r="T887">
        <v>0</v>
      </c>
      <c r="U887">
        <v>0</v>
      </c>
      <c r="V887">
        <v>0</v>
      </c>
      <c r="W887">
        <v>0</v>
      </c>
      <c r="X887" t="s">
        <v>58</v>
      </c>
    </row>
    <row r="888" customHeight="1" spans="1:24">
      <c r="A888" t="s">
        <v>951</v>
      </c>
      <c r="B888">
        <v>68</v>
      </c>
      <c r="C888">
        <v>12</v>
      </c>
      <c r="D888" t="s">
        <v>60</v>
      </c>
      <c r="E888" t="s">
        <v>76</v>
      </c>
      <c r="F888" t="s">
        <v>58</v>
      </c>
      <c r="G888">
        <v>436</v>
      </c>
      <c r="H888">
        <v>29.47</v>
      </c>
      <c r="I888">
        <v>181</v>
      </c>
      <c r="J888">
        <v>572.88</v>
      </c>
      <c r="K888">
        <v>1</v>
      </c>
      <c r="L888" t="s">
        <v>56</v>
      </c>
      <c r="M888">
        <v>2</v>
      </c>
      <c r="N888">
        <v>2</v>
      </c>
      <c r="O888">
        <v>19.3</v>
      </c>
      <c r="P888">
        <v>1</v>
      </c>
      <c r="Q888">
        <v>0</v>
      </c>
      <c r="R888">
        <v>1</v>
      </c>
      <c r="S888" t="s">
        <v>57</v>
      </c>
      <c r="T888">
        <v>1</v>
      </c>
      <c r="U888">
        <v>1</v>
      </c>
      <c r="V888">
        <v>0</v>
      </c>
      <c r="W888">
        <v>0</v>
      </c>
      <c r="X888" t="s">
        <v>58</v>
      </c>
    </row>
    <row r="889" customHeight="1" spans="1:24">
      <c r="A889" t="s">
        <v>952</v>
      </c>
      <c r="B889">
        <v>54</v>
      </c>
      <c r="C889">
        <v>1</v>
      </c>
      <c r="D889" t="s">
        <v>53</v>
      </c>
      <c r="E889" t="s">
        <v>69</v>
      </c>
      <c r="F889" t="s">
        <v>55</v>
      </c>
      <c r="G889">
        <v>616</v>
      </c>
      <c r="H889">
        <v>18.65</v>
      </c>
      <c r="I889">
        <v>37</v>
      </c>
      <c r="J889">
        <v>451.33</v>
      </c>
      <c r="K889">
        <v>0</v>
      </c>
      <c r="L889" t="s">
        <v>62</v>
      </c>
      <c r="M889">
        <v>0</v>
      </c>
      <c r="N889">
        <v>0</v>
      </c>
      <c r="O889">
        <v>25.1</v>
      </c>
      <c r="P889">
        <v>2</v>
      </c>
      <c r="Q889">
        <v>0</v>
      </c>
      <c r="R889">
        <v>0</v>
      </c>
      <c r="S889" t="s">
        <v>66</v>
      </c>
      <c r="T889">
        <v>0</v>
      </c>
      <c r="U889">
        <v>0</v>
      </c>
      <c r="V889">
        <v>0</v>
      </c>
      <c r="W889">
        <v>1</v>
      </c>
      <c r="X889" t="s">
        <v>55</v>
      </c>
    </row>
    <row r="890" customHeight="1" spans="1:24">
      <c r="A890" t="s">
        <v>953</v>
      </c>
      <c r="B890">
        <v>64</v>
      </c>
      <c r="C890">
        <v>15</v>
      </c>
      <c r="D890" t="s">
        <v>53</v>
      </c>
      <c r="E890" t="s">
        <v>61</v>
      </c>
      <c r="F890" t="s">
        <v>58</v>
      </c>
      <c r="G890">
        <v>425</v>
      </c>
      <c r="H890">
        <v>42.94</v>
      </c>
      <c r="I890">
        <v>277</v>
      </c>
      <c r="J890">
        <v>447.57</v>
      </c>
      <c r="K890">
        <v>1</v>
      </c>
      <c r="L890" t="s">
        <v>56</v>
      </c>
      <c r="M890">
        <v>0</v>
      </c>
      <c r="N890">
        <v>0</v>
      </c>
      <c r="O890">
        <v>38.9</v>
      </c>
      <c r="P890">
        <v>4</v>
      </c>
      <c r="Q890">
        <v>2</v>
      </c>
      <c r="R890">
        <v>1</v>
      </c>
      <c r="S890" t="s">
        <v>57</v>
      </c>
      <c r="T890">
        <v>0</v>
      </c>
      <c r="U890">
        <v>1</v>
      </c>
      <c r="V890">
        <v>0</v>
      </c>
      <c r="W890">
        <v>0</v>
      </c>
      <c r="X890" t="s">
        <v>58</v>
      </c>
    </row>
    <row r="891" customHeight="1" spans="1:24">
      <c r="A891" t="s">
        <v>954</v>
      </c>
      <c r="B891">
        <v>38</v>
      </c>
      <c r="C891">
        <v>50</v>
      </c>
      <c r="D891" t="s">
        <v>53</v>
      </c>
      <c r="E891" t="s">
        <v>61</v>
      </c>
      <c r="F891" t="s">
        <v>55</v>
      </c>
      <c r="G891">
        <v>363</v>
      </c>
      <c r="H891">
        <v>14.35</v>
      </c>
      <c r="I891">
        <v>277</v>
      </c>
      <c r="J891">
        <v>318.01</v>
      </c>
      <c r="K891">
        <v>0</v>
      </c>
      <c r="L891" t="s">
        <v>62</v>
      </c>
      <c r="M891">
        <v>0</v>
      </c>
      <c r="N891">
        <v>0</v>
      </c>
      <c r="O891">
        <v>32.1</v>
      </c>
      <c r="P891">
        <v>2</v>
      </c>
      <c r="Q891">
        <v>1</v>
      </c>
      <c r="R891">
        <v>1</v>
      </c>
      <c r="S891" t="s">
        <v>63</v>
      </c>
      <c r="T891">
        <v>0</v>
      </c>
      <c r="U891">
        <v>0</v>
      </c>
      <c r="V891">
        <v>0</v>
      </c>
      <c r="W891">
        <v>1</v>
      </c>
      <c r="X891" t="s">
        <v>55</v>
      </c>
    </row>
    <row r="892" customHeight="1" spans="1:24">
      <c r="A892" t="s">
        <v>955</v>
      </c>
      <c r="B892">
        <v>25</v>
      </c>
      <c r="C892">
        <v>39</v>
      </c>
      <c r="D892" t="s">
        <v>53</v>
      </c>
      <c r="E892" t="s">
        <v>69</v>
      </c>
      <c r="F892" t="s">
        <v>58</v>
      </c>
      <c r="G892">
        <v>132</v>
      </c>
      <c r="H892">
        <v>37.73</v>
      </c>
      <c r="I892">
        <v>234</v>
      </c>
      <c r="J892">
        <v>422.18</v>
      </c>
      <c r="K892">
        <v>0</v>
      </c>
      <c r="L892" t="s">
        <v>62</v>
      </c>
      <c r="M892">
        <v>1</v>
      </c>
      <c r="N892">
        <v>2</v>
      </c>
      <c r="O892">
        <v>4.5</v>
      </c>
      <c r="P892">
        <v>4</v>
      </c>
      <c r="Q892">
        <v>0</v>
      </c>
      <c r="R892">
        <v>1</v>
      </c>
      <c r="S892" t="s">
        <v>63</v>
      </c>
      <c r="T892">
        <v>1</v>
      </c>
      <c r="U892">
        <v>0</v>
      </c>
      <c r="V892">
        <v>0</v>
      </c>
      <c r="W892">
        <v>0</v>
      </c>
      <c r="X892" t="s">
        <v>58</v>
      </c>
    </row>
    <row r="893" customHeight="1" spans="1:24">
      <c r="A893" t="s">
        <v>956</v>
      </c>
      <c r="B893">
        <v>20</v>
      </c>
      <c r="C893">
        <v>25</v>
      </c>
      <c r="D893" t="s">
        <v>72</v>
      </c>
      <c r="E893" t="s">
        <v>69</v>
      </c>
      <c r="F893" t="s">
        <v>58</v>
      </c>
      <c r="G893">
        <v>157</v>
      </c>
      <c r="H893">
        <v>16.43</v>
      </c>
      <c r="I893">
        <v>209</v>
      </c>
      <c r="J893">
        <v>1315.37</v>
      </c>
      <c r="K893">
        <v>1</v>
      </c>
      <c r="L893" t="s">
        <v>56</v>
      </c>
      <c r="M893">
        <v>1</v>
      </c>
      <c r="N893">
        <v>2</v>
      </c>
      <c r="O893">
        <v>31.3</v>
      </c>
      <c r="P893">
        <v>1</v>
      </c>
      <c r="Q893">
        <v>0</v>
      </c>
      <c r="R893">
        <v>1</v>
      </c>
      <c r="S893" t="s">
        <v>63</v>
      </c>
      <c r="T893">
        <v>1</v>
      </c>
      <c r="U893">
        <v>1</v>
      </c>
      <c r="V893">
        <v>0</v>
      </c>
      <c r="W893">
        <v>0</v>
      </c>
      <c r="X893" t="s">
        <v>58</v>
      </c>
    </row>
    <row r="894" customHeight="1" spans="1:24">
      <c r="A894" t="s">
        <v>957</v>
      </c>
      <c r="B894">
        <v>43</v>
      </c>
      <c r="C894">
        <v>35</v>
      </c>
      <c r="D894" t="s">
        <v>60</v>
      </c>
      <c r="E894" t="s">
        <v>54</v>
      </c>
      <c r="F894" t="s">
        <v>55</v>
      </c>
      <c r="G894">
        <v>125</v>
      </c>
      <c r="H894">
        <v>31.36</v>
      </c>
      <c r="I894">
        <v>114</v>
      </c>
      <c r="J894">
        <v>664.5</v>
      </c>
      <c r="K894">
        <v>1</v>
      </c>
      <c r="L894" t="s">
        <v>56</v>
      </c>
      <c r="M894">
        <v>0</v>
      </c>
      <c r="N894">
        <v>0</v>
      </c>
      <c r="O894">
        <v>25.3</v>
      </c>
      <c r="P894">
        <v>2</v>
      </c>
      <c r="Q894">
        <v>0</v>
      </c>
      <c r="R894">
        <v>1</v>
      </c>
      <c r="S894" t="s">
        <v>63</v>
      </c>
      <c r="T894">
        <v>0</v>
      </c>
      <c r="U894">
        <v>1</v>
      </c>
      <c r="V894">
        <v>0</v>
      </c>
      <c r="W894">
        <v>1</v>
      </c>
      <c r="X894" t="s">
        <v>58</v>
      </c>
    </row>
    <row r="895" customHeight="1" spans="1:24">
      <c r="A895" t="s">
        <v>958</v>
      </c>
      <c r="B895">
        <v>18</v>
      </c>
      <c r="C895">
        <v>61</v>
      </c>
      <c r="D895" t="s">
        <v>53</v>
      </c>
      <c r="E895" t="s">
        <v>61</v>
      </c>
      <c r="F895" t="s">
        <v>58</v>
      </c>
      <c r="G895">
        <v>457</v>
      </c>
      <c r="H895">
        <v>34.97</v>
      </c>
      <c r="I895">
        <v>202</v>
      </c>
      <c r="J895">
        <v>432.72</v>
      </c>
      <c r="K895">
        <v>1</v>
      </c>
      <c r="L895" t="s">
        <v>56</v>
      </c>
      <c r="M895">
        <v>1</v>
      </c>
      <c r="N895">
        <v>1</v>
      </c>
      <c r="O895">
        <v>22.8</v>
      </c>
      <c r="P895">
        <v>2</v>
      </c>
      <c r="Q895">
        <v>0</v>
      </c>
      <c r="R895">
        <v>2</v>
      </c>
      <c r="S895" t="s">
        <v>63</v>
      </c>
      <c r="T895">
        <v>1</v>
      </c>
      <c r="U895">
        <v>1</v>
      </c>
      <c r="V895">
        <v>0</v>
      </c>
      <c r="W895">
        <v>0</v>
      </c>
      <c r="X895" t="s">
        <v>58</v>
      </c>
    </row>
    <row r="896" customHeight="1" spans="1:24">
      <c r="A896" t="s">
        <v>959</v>
      </c>
      <c r="B896">
        <v>48</v>
      </c>
      <c r="C896">
        <v>42</v>
      </c>
      <c r="D896" t="s">
        <v>72</v>
      </c>
      <c r="E896" t="s">
        <v>65</v>
      </c>
      <c r="F896" t="s">
        <v>55</v>
      </c>
      <c r="G896">
        <v>196</v>
      </c>
      <c r="H896">
        <v>7.77</v>
      </c>
      <c r="I896">
        <v>113</v>
      </c>
      <c r="J896">
        <v>1283.86</v>
      </c>
      <c r="K896">
        <v>0</v>
      </c>
      <c r="L896" t="s">
        <v>62</v>
      </c>
      <c r="M896">
        <v>0</v>
      </c>
      <c r="N896">
        <v>0</v>
      </c>
      <c r="O896">
        <v>23.7</v>
      </c>
      <c r="P896">
        <v>3</v>
      </c>
      <c r="Q896">
        <v>1</v>
      </c>
      <c r="R896">
        <v>0</v>
      </c>
      <c r="S896" t="s">
        <v>63</v>
      </c>
      <c r="T896">
        <v>0</v>
      </c>
      <c r="U896">
        <v>0</v>
      </c>
      <c r="V896">
        <v>0</v>
      </c>
      <c r="W896">
        <v>1</v>
      </c>
      <c r="X896" t="s">
        <v>55</v>
      </c>
    </row>
    <row r="897" customHeight="1" spans="1:24">
      <c r="A897" t="s">
        <v>960</v>
      </c>
      <c r="B897">
        <v>41</v>
      </c>
      <c r="C897">
        <v>5</v>
      </c>
      <c r="D897" t="s">
        <v>60</v>
      </c>
      <c r="E897" t="s">
        <v>61</v>
      </c>
      <c r="F897" t="s">
        <v>55</v>
      </c>
      <c r="G897">
        <v>588</v>
      </c>
      <c r="H897">
        <v>13.15</v>
      </c>
      <c r="I897">
        <v>11</v>
      </c>
      <c r="J897">
        <v>752.9</v>
      </c>
      <c r="K897">
        <v>0</v>
      </c>
      <c r="L897" t="s">
        <v>62</v>
      </c>
      <c r="M897">
        <v>1</v>
      </c>
      <c r="N897">
        <v>1</v>
      </c>
      <c r="O897">
        <v>26.5</v>
      </c>
      <c r="P897">
        <v>0</v>
      </c>
      <c r="Q897">
        <v>1</v>
      </c>
      <c r="R897">
        <v>0</v>
      </c>
      <c r="S897" t="s">
        <v>66</v>
      </c>
      <c r="T897">
        <v>1</v>
      </c>
      <c r="U897">
        <v>0</v>
      </c>
      <c r="V897">
        <v>0</v>
      </c>
      <c r="W897">
        <v>1</v>
      </c>
      <c r="X897" t="s">
        <v>55</v>
      </c>
    </row>
    <row r="898" customHeight="1" spans="1:24">
      <c r="A898" t="s">
        <v>961</v>
      </c>
      <c r="B898">
        <v>32</v>
      </c>
      <c r="C898">
        <v>4</v>
      </c>
      <c r="D898" t="s">
        <v>53</v>
      </c>
      <c r="E898" t="s">
        <v>69</v>
      </c>
      <c r="F898" t="s">
        <v>58</v>
      </c>
      <c r="G898">
        <v>405</v>
      </c>
      <c r="H898">
        <v>7.67</v>
      </c>
      <c r="I898">
        <v>225</v>
      </c>
      <c r="J898">
        <v>336.04</v>
      </c>
      <c r="K898">
        <v>1</v>
      </c>
      <c r="L898" t="s">
        <v>56</v>
      </c>
      <c r="M898">
        <v>0</v>
      </c>
      <c r="N898">
        <v>0</v>
      </c>
      <c r="O898">
        <v>15.7</v>
      </c>
      <c r="P898">
        <v>0</v>
      </c>
      <c r="Q898">
        <v>0</v>
      </c>
      <c r="R898">
        <v>1</v>
      </c>
      <c r="S898" t="s">
        <v>66</v>
      </c>
      <c r="T898">
        <v>0</v>
      </c>
      <c r="U898">
        <v>1</v>
      </c>
      <c r="V898">
        <v>0</v>
      </c>
      <c r="W898">
        <v>0</v>
      </c>
      <c r="X898" t="s">
        <v>58</v>
      </c>
    </row>
    <row r="899" customHeight="1" spans="1:24">
      <c r="A899" t="s">
        <v>962</v>
      </c>
      <c r="B899">
        <v>52</v>
      </c>
      <c r="C899">
        <v>35</v>
      </c>
      <c r="D899" t="s">
        <v>53</v>
      </c>
      <c r="E899" t="s">
        <v>54</v>
      </c>
      <c r="F899" t="s">
        <v>55</v>
      </c>
      <c r="G899">
        <v>363</v>
      </c>
      <c r="H899">
        <v>5.7</v>
      </c>
      <c r="I899">
        <v>199</v>
      </c>
      <c r="J899">
        <v>425.63</v>
      </c>
      <c r="K899">
        <v>0</v>
      </c>
      <c r="L899" t="s">
        <v>62</v>
      </c>
      <c r="M899">
        <v>0</v>
      </c>
      <c r="N899">
        <v>0</v>
      </c>
      <c r="O899">
        <v>21.8</v>
      </c>
      <c r="P899">
        <v>1</v>
      </c>
      <c r="Q899">
        <v>0</v>
      </c>
      <c r="R899">
        <v>0</v>
      </c>
      <c r="S899" t="s">
        <v>63</v>
      </c>
      <c r="T899">
        <v>0</v>
      </c>
      <c r="U899">
        <v>0</v>
      </c>
      <c r="V899">
        <v>0</v>
      </c>
      <c r="W899">
        <v>1</v>
      </c>
      <c r="X899" t="s">
        <v>58</v>
      </c>
    </row>
    <row r="900" customHeight="1" spans="1:24">
      <c r="A900" t="s">
        <v>963</v>
      </c>
      <c r="B900">
        <v>57</v>
      </c>
      <c r="C900">
        <v>30</v>
      </c>
      <c r="D900" t="s">
        <v>53</v>
      </c>
      <c r="E900" t="s">
        <v>65</v>
      </c>
      <c r="F900" t="s">
        <v>55</v>
      </c>
      <c r="G900">
        <v>273</v>
      </c>
      <c r="H900">
        <v>24.67</v>
      </c>
      <c r="I900">
        <v>118</v>
      </c>
      <c r="J900">
        <v>503.49</v>
      </c>
      <c r="K900">
        <v>0</v>
      </c>
      <c r="L900" t="s">
        <v>62</v>
      </c>
      <c r="M900">
        <v>0</v>
      </c>
      <c r="N900">
        <v>1</v>
      </c>
      <c r="O900">
        <v>38.2</v>
      </c>
      <c r="P900">
        <v>2</v>
      </c>
      <c r="Q900">
        <v>0</v>
      </c>
      <c r="R900">
        <v>0</v>
      </c>
      <c r="S900" t="s">
        <v>63</v>
      </c>
      <c r="T900">
        <v>0</v>
      </c>
      <c r="U900">
        <v>0</v>
      </c>
      <c r="V900">
        <v>0</v>
      </c>
      <c r="W900">
        <v>1</v>
      </c>
      <c r="X900" t="s">
        <v>58</v>
      </c>
    </row>
    <row r="901" customHeight="1" spans="1:24">
      <c r="A901" t="s">
        <v>964</v>
      </c>
      <c r="B901">
        <v>20</v>
      </c>
      <c r="C901">
        <v>62</v>
      </c>
      <c r="D901" t="s">
        <v>60</v>
      </c>
      <c r="E901" t="s">
        <v>61</v>
      </c>
      <c r="F901" t="s">
        <v>55</v>
      </c>
      <c r="G901">
        <v>493</v>
      </c>
      <c r="H901">
        <v>16.03</v>
      </c>
      <c r="I901">
        <v>34</v>
      </c>
      <c r="J901">
        <v>741.89</v>
      </c>
      <c r="K901">
        <v>0</v>
      </c>
      <c r="L901" t="s">
        <v>62</v>
      </c>
      <c r="M901">
        <v>1</v>
      </c>
      <c r="N901">
        <v>1</v>
      </c>
      <c r="O901">
        <v>15.6</v>
      </c>
      <c r="P901">
        <v>2</v>
      </c>
      <c r="Q901">
        <v>0</v>
      </c>
      <c r="R901">
        <v>0</v>
      </c>
      <c r="S901" t="s">
        <v>63</v>
      </c>
      <c r="T901">
        <v>1</v>
      </c>
      <c r="U901">
        <v>0</v>
      </c>
      <c r="V901">
        <v>0</v>
      </c>
      <c r="W901">
        <v>1</v>
      </c>
      <c r="X901" t="s">
        <v>55</v>
      </c>
    </row>
    <row r="902" customHeight="1" spans="1:24">
      <c r="A902" t="s">
        <v>965</v>
      </c>
      <c r="B902">
        <v>45</v>
      </c>
      <c r="C902">
        <v>42</v>
      </c>
      <c r="D902" t="s">
        <v>53</v>
      </c>
      <c r="E902" t="s">
        <v>61</v>
      </c>
      <c r="F902" t="s">
        <v>55</v>
      </c>
      <c r="G902">
        <v>279</v>
      </c>
      <c r="H902">
        <v>17.41</v>
      </c>
      <c r="I902">
        <v>79</v>
      </c>
      <c r="J902">
        <v>504.75</v>
      </c>
      <c r="K902">
        <v>2</v>
      </c>
      <c r="L902" t="s">
        <v>56</v>
      </c>
      <c r="M902">
        <v>2</v>
      </c>
      <c r="N902">
        <v>2</v>
      </c>
      <c r="O902">
        <v>11.6</v>
      </c>
      <c r="P902">
        <v>1</v>
      </c>
      <c r="Q902">
        <v>1</v>
      </c>
      <c r="R902">
        <v>0</v>
      </c>
      <c r="S902" t="s">
        <v>63</v>
      </c>
      <c r="T902">
        <v>1</v>
      </c>
      <c r="U902">
        <v>1</v>
      </c>
      <c r="V902">
        <v>1</v>
      </c>
      <c r="W902">
        <v>1</v>
      </c>
      <c r="X902" t="s">
        <v>55</v>
      </c>
    </row>
    <row r="903" customHeight="1" spans="1:24">
      <c r="A903" t="s">
        <v>966</v>
      </c>
      <c r="B903">
        <v>72</v>
      </c>
      <c r="C903">
        <v>55</v>
      </c>
      <c r="D903" t="s">
        <v>53</v>
      </c>
      <c r="E903" t="s">
        <v>69</v>
      </c>
      <c r="F903" t="s">
        <v>58</v>
      </c>
      <c r="G903">
        <v>252</v>
      </c>
      <c r="H903">
        <v>23.56</v>
      </c>
      <c r="I903">
        <v>0</v>
      </c>
      <c r="J903">
        <v>347.22</v>
      </c>
      <c r="K903">
        <v>1</v>
      </c>
      <c r="L903" t="s">
        <v>56</v>
      </c>
      <c r="M903">
        <v>0</v>
      </c>
      <c r="N903">
        <v>0</v>
      </c>
      <c r="O903">
        <v>23.3</v>
      </c>
      <c r="P903">
        <v>2</v>
      </c>
      <c r="Q903">
        <v>2</v>
      </c>
      <c r="R903">
        <v>0</v>
      </c>
      <c r="S903" t="s">
        <v>63</v>
      </c>
      <c r="T903">
        <v>0</v>
      </c>
      <c r="U903">
        <v>1</v>
      </c>
      <c r="V903">
        <v>0</v>
      </c>
      <c r="W903">
        <v>0</v>
      </c>
      <c r="X903" t="s">
        <v>58</v>
      </c>
    </row>
    <row r="904" customHeight="1" spans="1:24">
      <c r="A904" t="s">
        <v>967</v>
      </c>
      <c r="B904">
        <v>35</v>
      </c>
      <c r="C904">
        <v>43</v>
      </c>
      <c r="D904" t="s">
        <v>53</v>
      </c>
      <c r="E904" t="s">
        <v>76</v>
      </c>
      <c r="F904" t="s">
        <v>55</v>
      </c>
      <c r="G904">
        <v>578</v>
      </c>
      <c r="H904">
        <v>0.5</v>
      </c>
      <c r="I904">
        <v>186</v>
      </c>
      <c r="J904">
        <v>433.73</v>
      </c>
      <c r="K904">
        <v>1</v>
      </c>
      <c r="L904" t="s">
        <v>56</v>
      </c>
      <c r="M904">
        <v>0</v>
      </c>
      <c r="N904">
        <v>0</v>
      </c>
      <c r="O904">
        <v>10.4</v>
      </c>
      <c r="P904">
        <v>1</v>
      </c>
      <c r="Q904">
        <v>1</v>
      </c>
      <c r="R904">
        <v>0</v>
      </c>
      <c r="S904" t="s">
        <v>63</v>
      </c>
      <c r="T904">
        <v>0</v>
      </c>
      <c r="U904">
        <v>1</v>
      </c>
      <c r="V904">
        <v>1</v>
      </c>
      <c r="W904">
        <v>1</v>
      </c>
      <c r="X904" t="s">
        <v>58</v>
      </c>
    </row>
    <row r="905" customHeight="1" spans="1:24">
      <c r="A905" t="s">
        <v>968</v>
      </c>
      <c r="B905">
        <v>63</v>
      </c>
      <c r="C905">
        <v>25</v>
      </c>
      <c r="D905" t="s">
        <v>60</v>
      </c>
      <c r="E905" t="s">
        <v>76</v>
      </c>
      <c r="F905" t="s">
        <v>58</v>
      </c>
      <c r="G905">
        <v>453</v>
      </c>
      <c r="H905">
        <v>30.87</v>
      </c>
      <c r="I905">
        <v>8</v>
      </c>
      <c r="J905">
        <v>660.62</v>
      </c>
      <c r="K905">
        <v>0</v>
      </c>
      <c r="L905" t="s">
        <v>62</v>
      </c>
      <c r="M905">
        <v>0</v>
      </c>
      <c r="N905">
        <v>0</v>
      </c>
      <c r="O905">
        <v>3.3</v>
      </c>
      <c r="P905">
        <v>0</v>
      </c>
      <c r="Q905">
        <v>0</v>
      </c>
      <c r="R905">
        <v>0</v>
      </c>
      <c r="S905" t="s">
        <v>63</v>
      </c>
      <c r="T905">
        <v>0</v>
      </c>
      <c r="U905">
        <v>0</v>
      </c>
      <c r="V905">
        <v>0</v>
      </c>
      <c r="W905">
        <v>0</v>
      </c>
      <c r="X905" t="s">
        <v>58</v>
      </c>
    </row>
    <row r="906" customHeight="1" spans="1:24">
      <c r="A906" t="s">
        <v>969</v>
      </c>
      <c r="B906">
        <v>37</v>
      </c>
      <c r="C906">
        <v>48</v>
      </c>
      <c r="D906" t="s">
        <v>53</v>
      </c>
      <c r="E906" t="s">
        <v>61</v>
      </c>
      <c r="F906" t="s">
        <v>58</v>
      </c>
      <c r="G906">
        <v>365</v>
      </c>
      <c r="H906">
        <v>14.51</v>
      </c>
      <c r="I906">
        <v>140</v>
      </c>
      <c r="J906">
        <v>462.43</v>
      </c>
      <c r="K906">
        <v>0</v>
      </c>
      <c r="L906" t="s">
        <v>62</v>
      </c>
      <c r="M906">
        <v>0</v>
      </c>
      <c r="N906">
        <v>0</v>
      </c>
      <c r="O906">
        <v>19.9</v>
      </c>
      <c r="P906">
        <v>2</v>
      </c>
      <c r="Q906">
        <v>0</v>
      </c>
      <c r="R906">
        <v>1</v>
      </c>
      <c r="S906" t="s">
        <v>63</v>
      </c>
      <c r="T906">
        <v>0</v>
      </c>
      <c r="U906">
        <v>0</v>
      </c>
      <c r="V906">
        <v>0</v>
      </c>
      <c r="W906">
        <v>0</v>
      </c>
      <c r="X906" t="s">
        <v>58</v>
      </c>
    </row>
    <row r="907" customHeight="1" spans="1:24">
      <c r="A907" t="s">
        <v>970</v>
      </c>
      <c r="B907">
        <v>33</v>
      </c>
      <c r="C907">
        <v>45</v>
      </c>
      <c r="D907" t="s">
        <v>72</v>
      </c>
      <c r="E907" t="s">
        <v>69</v>
      </c>
      <c r="F907" t="s">
        <v>58</v>
      </c>
      <c r="G907">
        <v>496</v>
      </c>
      <c r="H907">
        <v>23.32</v>
      </c>
      <c r="I907">
        <v>61</v>
      </c>
      <c r="J907">
        <v>1225.63</v>
      </c>
      <c r="K907">
        <v>0</v>
      </c>
      <c r="L907" t="s">
        <v>62</v>
      </c>
      <c r="M907">
        <v>1</v>
      </c>
      <c r="N907">
        <v>2</v>
      </c>
      <c r="O907">
        <v>41.4</v>
      </c>
      <c r="P907">
        <v>2</v>
      </c>
      <c r="Q907">
        <v>1</v>
      </c>
      <c r="R907">
        <v>1</v>
      </c>
      <c r="S907" t="s">
        <v>63</v>
      </c>
      <c r="T907">
        <v>1</v>
      </c>
      <c r="U907">
        <v>0</v>
      </c>
      <c r="V907">
        <v>0</v>
      </c>
      <c r="W907">
        <v>0</v>
      </c>
      <c r="X907" t="s">
        <v>58</v>
      </c>
    </row>
    <row r="908" customHeight="1" spans="1:24">
      <c r="A908" t="s">
        <v>971</v>
      </c>
      <c r="B908">
        <v>67</v>
      </c>
      <c r="C908">
        <v>52</v>
      </c>
      <c r="D908" t="s">
        <v>53</v>
      </c>
      <c r="E908" t="s">
        <v>76</v>
      </c>
      <c r="F908" t="s">
        <v>58</v>
      </c>
      <c r="G908">
        <v>401</v>
      </c>
      <c r="H908">
        <v>24.21</v>
      </c>
      <c r="I908">
        <v>20</v>
      </c>
      <c r="J908">
        <v>385.81</v>
      </c>
      <c r="K908">
        <v>0</v>
      </c>
      <c r="L908" t="s">
        <v>62</v>
      </c>
      <c r="M908">
        <v>0</v>
      </c>
      <c r="N908">
        <v>0</v>
      </c>
      <c r="O908">
        <v>23.5</v>
      </c>
      <c r="P908">
        <v>3</v>
      </c>
      <c r="Q908">
        <v>1</v>
      </c>
      <c r="R908">
        <v>0</v>
      </c>
      <c r="S908" t="s">
        <v>63</v>
      </c>
      <c r="T908">
        <v>0</v>
      </c>
      <c r="U908">
        <v>0</v>
      </c>
      <c r="V908">
        <v>0</v>
      </c>
      <c r="W908">
        <v>0</v>
      </c>
      <c r="X908" t="s">
        <v>58</v>
      </c>
    </row>
    <row r="909" customHeight="1" spans="1:24">
      <c r="A909" t="s">
        <v>972</v>
      </c>
      <c r="B909">
        <v>38</v>
      </c>
      <c r="C909">
        <v>14</v>
      </c>
      <c r="D909" t="s">
        <v>60</v>
      </c>
      <c r="E909" t="s">
        <v>65</v>
      </c>
      <c r="F909" t="s">
        <v>58</v>
      </c>
      <c r="G909">
        <v>457</v>
      </c>
      <c r="H909">
        <v>31.71</v>
      </c>
      <c r="I909">
        <v>137</v>
      </c>
      <c r="J909">
        <v>730.04</v>
      </c>
      <c r="K909">
        <v>0</v>
      </c>
      <c r="L909" t="s">
        <v>62</v>
      </c>
      <c r="M909">
        <v>2</v>
      </c>
      <c r="N909">
        <v>2</v>
      </c>
      <c r="O909">
        <v>26.1</v>
      </c>
      <c r="P909">
        <v>0</v>
      </c>
      <c r="Q909">
        <v>0</v>
      </c>
      <c r="R909">
        <v>0</v>
      </c>
      <c r="S909" t="s">
        <v>57</v>
      </c>
      <c r="T909">
        <v>1</v>
      </c>
      <c r="U909">
        <v>0</v>
      </c>
      <c r="V909">
        <v>0</v>
      </c>
      <c r="W909">
        <v>0</v>
      </c>
      <c r="X909" t="s">
        <v>58</v>
      </c>
    </row>
    <row r="910" customHeight="1" spans="1:24">
      <c r="A910" t="s">
        <v>973</v>
      </c>
      <c r="B910">
        <v>68</v>
      </c>
      <c r="C910">
        <v>47</v>
      </c>
      <c r="D910" t="s">
        <v>60</v>
      </c>
      <c r="E910" t="s">
        <v>54</v>
      </c>
      <c r="F910" t="s">
        <v>58</v>
      </c>
      <c r="G910">
        <v>277</v>
      </c>
      <c r="H910">
        <v>16.95</v>
      </c>
      <c r="I910">
        <v>97</v>
      </c>
      <c r="J910">
        <v>635.21</v>
      </c>
      <c r="K910">
        <v>1</v>
      </c>
      <c r="L910" t="s">
        <v>56</v>
      </c>
      <c r="M910">
        <v>0</v>
      </c>
      <c r="N910">
        <v>0</v>
      </c>
      <c r="O910">
        <v>1</v>
      </c>
      <c r="P910">
        <v>2</v>
      </c>
      <c r="Q910">
        <v>1</v>
      </c>
      <c r="R910">
        <v>0</v>
      </c>
      <c r="S910" t="s">
        <v>63</v>
      </c>
      <c r="T910">
        <v>0</v>
      </c>
      <c r="U910">
        <v>1</v>
      </c>
      <c r="V910">
        <v>0</v>
      </c>
      <c r="W910">
        <v>0</v>
      </c>
      <c r="X910" t="s">
        <v>58</v>
      </c>
    </row>
    <row r="911" customHeight="1" spans="1:24">
      <c r="A911" t="s">
        <v>974</v>
      </c>
      <c r="B911">
        <v>55</v>
      </c>
      <c r="C911">
        <v>21</v>
      </c>
      <c r="D911" t="s">
        <v>60</v>
      </c>
      <c r="E911" t="s">
        <v>76</v>
      </c>
      <c r="F911" t="s">
        <v>58</v>
      </c>
      <c r="G911">
        <v>711</v>
      </c>
      <c r="H911">
        <v>0.5</v>
      </c>
      <c r="I911">
        <v>179</v>
      </c>
      <c r="J911">
        <v>758.89</v>
      </c>
      <c r="K911">
        <v>0</v>
      </c>
      <c r="L911" t="s">
        <v>62</v>
      </c>
      <c r="M911">
        <v>1</v>
      </c>
      <c r="N911">
        <v>1</v>
      </c>
      <c r="O911">
        <v>29.3</v>
      </c>
      <c r="P911">
        <v>2</v>
      </c>
      <c r="Q911">
        <v>0</v>
      </c>
      <c r="R911">
        <v>1</v>
      </c>
      <c r="S911" t="s">
        <v>57</v>
      </c>
      <c r="T911">
        <v>1</v>
      </c>
      <c r="U911">
        <v>0</v>
      </c>
      <c r="V911">
        <v>1</v>
      </c>
      <c r="W911">
        <v>0</v>
      </c>
      <c r="X911" t="s">
        <v>58</v>
      </c>
    </row>
    <row r="912" customHeight="1" spans="1:24">
      <c r="A912" t="s">
        <v>975</v>
      </c>
      <c r="B912">
        <v>65</v>
      </c>
      <c r="C912">
        <v>57</v>
      </c>
      <c r="D912" t="s">
        <v>53</v>
      </c>
      <c r="E912" t="s">
        <v>69</v>
      </c>
      <c r="F912" t="s">
        <v>58</v>
      </c>
      <c r="G912">
        <v>313</v>
      </c>
      <c r="H912">
        <v>18.57</v>
      </c>
      <c r="I912">
        <v>31</v>
      </c>
      <c r="J912">
        <v>393.6</v>
      </c>
      <c r="K912">
        <v>0</v>
      </c>
      <c r="L912" t="s">
        <v>62</v>
      </c>
      <c r="M912">
        <v>0</v>
      </c>
      <c r="N912">
        <v>0</v>
      </c>
      <c r="O912">
        <v>23.7</v>
      </c>
      <c r="P912">
        <v>2</v>
      </c>
      <c r="Q912">
        <v>0</v>
      </c>
      <c r="R912">
        <v>0</v>
      </c>
      <c r="S912" t="s">
        <v>63</v>
      </c>
      <c r="T912">
        <v>0</v>
      </c>
      <c r="U912">
        <v>0</v>
      </c>
      <c r="V912">
        <v>0</v>
      </c>
      <c r="W912">
        <v>0</v>
      </c>
      <c r="X912" t="s">
        <v>58</v>
      </c>
    </row>
    <row r="913" customHeight="1" spans="1:24">
      <c r="A913" t="s">
        <v>976</v>
      </c>
      <c r="B913">
        <v>65</v>
      </c>
      <c r="C913">
        <v>58</v>
      </c>
      <c r="D913" t="s">
        <v>72</v>
      </c>
      <c r="E913" t="s">
        <v>61</v>
      </c>
      <c r="F913" t="s">
        <v>58</v>
      </c>
      <c r="G913">
        <v>633</v>
      </c>
      <c r="H913">
        <v>20.01</v>
      </c>
      <c r="I913">
        <v>67</v>
      </c>
      <c r="J913">
        <v>1149.28</v>
      </c>
      <c r="K913">
        <v>0</v>
      </c>
      <c r="L913" t="s">
        <v>62</v>
      </c>
      <c r="M913">
        <v>0</v>
      </c>
      <c r="N913">
        <v>0</v>
      </c>
      <c r="O913">
        <v>23.7</v>
      </c>
      <c r="P913">
        <v>3</v>
      </c>
      <c r="Q913">
        <v>0</v>
      </c>
      <c r="R913">
        <v>0</v>
      </c>
      <c r="S913" t="s">
        <v>63</v>
      </c>
      <c r="T913">
        <v>0</v>
      </c>
      <c r="U913">
        <v>0</v>
      </c>
      <c r="V913">
        <v>0</v>
      </c>
      <c r="W913">
        <v>0</v>
      </c>
      <c r="X913" t="s">
        <v>58</v>
      </c>
    </row>
    <row r="914" customHeight="1" spans="1:24">
      <c r="A914" t="s">
        <v>977</v>
      </c>
      <c r="B914">
        <v>71</v>
      </c>
      <c r="C914">
        <v>45</v>
      </c>
      <c r="D914" t="s">
        <v>72</v>
      </c>
      <c r="E914" t="s">
        <v>61</v>
      </c>
      <c r="F914" t="s">
        <v>58</v>
      </c>
      <c r="G914">
        <v>372</v>
      </c>
      <c r="H914">
        <v>7.66</v>
      </c>
      <c r="I914">
        <v>0</v>
      </c>
      <c r="J914">
        <v>1643.8575</v>
      </c>
      <c r="K914">
        <v>0</v>
      </c>
      <c r="L914" t="s">
        <v>62</v>
      </c>
      <c r="M914">
        <v>0</v>
      </c>
      <c r="N914">
        <v>0</v>
      </c>
      <c r="O914">
        <v>26.2</v>
      </c>
      <c r="P914">
        <v>1</v>
      </c>
      <c r="Q914">
        <v>0</v>
      </c>
      <c r="R914">
        <v>0</v>
      </c>
      <c r="S914" t="s">
        <v>63</v>
      </c>
      <c r="T914">
        <v>0</v>
      </c>
      <c r="U914">
        <v>0</v>
      </c>
      <c r="V914">
        <v>0</v>
      </c>
      <c r="W914">
        <v>0</v>
      </c>
      <c r="X914" t="s">
        <v>58</v>
      </c>
    </row>
    <row r="915" customHeight="1" spans="1:24">
      <c r="A915" t="s">
        <v>978</v>
      </c>
      <c r="B915">
        <v>50</v>
      </c>
      <c r="C915">
        <v>69</v>
      </c>
      <c r="D915" t="s">
        <v>53</v>
      </c>
      <c r="E915" t="s">
        <v>54</v>
      </c>
      <c r="F915" t="s">
        <v>58</v>
      </c>
      <c r="G915">
        <v>521</v>
      </c>
      <c r="H915">
        <v>19.47</v>
      </c>
      <c r="I915">
        <v>0</v>
      </c>
      <c r="J915">
        <v>406.5</v>
      </c>
      <c r="K915">
        <v>0</v>
      </c>
      <c r="L915" t="s">
        <v>62</v>
      </c>
      <c r="M915">
        <v>0</v>
      </c>
      <c r="N915">
        <v>0</v>
      </c>
      <c r="O915">
        <v>26</v>
      </c>
      <c r="P915">
        <v>2</v>
      </c>
      <c r="Q915">
        <v>1</v>
      </c>
      <c r="R915">
        <v>1</v>
      </c>
      <c r="S915" t="s">
        <v>63</v>
      </c>
      <c r="T915">
        <v>0</v>
      </c>
      <c r="U915">
        <v>0</v>
      </c>
      <c r="V915">
        <v>0</v>
      </c>
      <c r="W915">
        <v>0</v>
      </c>
      <c r="X915" t="s">
        <v>58</v>
      </c>
    </row>
    <row r="916" customHeight="1" spans="1:24">
      <c r="A916" t="s">
        <v>979</v>
      </c>
      <c r="B916">
        <v>73</v>
      </c>
      <c r="C916">
        <v>39</v>
      </c>
      <c r="D916" t="s">
        <v>53</v>
      </c>
      <c r="E916" t="s">
        <v>65</v>
      </c>
      <c r="F916" t="s">
        <v>58</v>
      </c>
      <c r="G916">
        <v>510</v>
      </c>
      <c r="H916">
        <v>14.39</v>
      </c>
      <c r="I916">
        <v>246</v>
      </c>
      <c r="J916">
        <v>413.29</v>
      </c>
      <c r="K916">
        <v>1</v>
      </c>
      <c r="L916" t="s">
        <v>56</v>
      </c>
      <c r="M916">
        <v>0</v>
      </c>
      <c r="N916">
        <v>0</v>
      </c>
      <c r="O916">
        <v>23.7</v>
      </c>
      <c r="P916">
        <v>0</v>
      </c>
      <c r="Q916">
        <v>0</v>
      </c>
      <c r="R916">
        <v>0</v>
      </c>
      <c r="S916" t="s">
        <v>63</v>
      </c>
      <c r="T916">
        <v>0</v>
      </c>
      <c r="U916">
        <v>1</v>
      </c>
      <c r="V916">
        <v>0</v>
      </c>
      <c r="W916">
        <v>0</v>
      </c>
      <c r="X916" t="s">
        <v>58</v>
      </c>
    </row>
    <row r="917" customHeight="1" spans="1:24">
      <c r="A917" t="s">
        <v>980</v>
      </c>
      <c r="B917">
        <v>21</v>
      </c>
      <c r="C917">
        <v>2</v>
      </c>
      <c r="D917" t="s">
        <v>72</v>
      </c>
      <c r="E917" t="s">
        <v>65</v>
      </c>
      <c r="F917" t="s">
        <v>55</v>
      </c>
      <c r="G917">
        <v>572</v>
      </c>
      <c r="H917">
        <v>4.57</v>
      </c>
      <c r="I917">
        <v>266</v>
      </c>
      <c r="J917">
        <v>1085.61</v>
      </c>
      <c r="K917">
        <v>1</v>
      </c>
      <c r="L917" t="s">
        <v>56</v>
      </c>
      <c r="M917">
        <v>3</v>
      </c>
      <c r="N917">
        <v>4</v>
      </c>
      <c r="O917">
        <v>28</v>
      </c>
      <c r="P917">
        <v>1</v>
      </c>
      <c r="Q917">
        <v>1</v>
      </c>
      <c r="R917">
        <v>0</v>
      </c>
      <c r="S917" t="s">
        <v>66</v>
      </c>
      <c r="T917">
        <v>1</v>
      </c>
      <c r="U917">
        <v>1</v>
      </c>
      <c r="V917">
        <v>1</v>
      </c>
      <c r="W917">
        <v>1</v>
      </c>
      <c r="X917" t="s">
        <v>55</v>
      </c>
    </row>
    <row r="918" customHeight="1" spans="1:24">
      <c r="A918" t="s">
        <v>981</v>
      </c>
      <c r="B918">
        <v>46</v>
      </c>
      <c r="C918">
        <v>44</v>
      </c>
      <c r="D918" t="s">
        <v>60</v>
      </c>
      <c r="E918" t="s">
        <v>65</v>
      </c>
      <c r="F918" t="s">
        <v>58</v>
      </c>
      <c r="G918">
        <v>274</v>
      </c>
      <c r="H918">
        <v>24.71</v>
      </c>
      <c r="I918">
        <v>126</v>
      </c>
      <c r="J918">
        <v>945.47</v>
      </c>
      <c r="K918">
        <v>1</v>
      </c>
      <c r="L918" t="s">
        <v>56</v>
      </c>
      <c r="M918">
        <v>0</v>
      </c>
      <c r="N918">
        <v>1</v>
      </c>
      <c r="O918">
        <v>38.4</v>
      </c>
      <c r="P918">
        <v>2</v>
      </c>
      <c r="Q918">
        <v>1</v>
      </c>
      <c r="R918">
        <v>1</v>
      </c>
      <c r="S918" t="s">
        <v>63</v>
      </c>
      <c r="T918">
        <v>0</v>
      </c>
      <c r="U918">
        <v>1</v>
      </c>
      <c r="V918">
        <v>0</v>
      </c>
      <c r="W918">
        <v>0</v>
      </c>
      <c r="X918" t="s">
        <v>58</v>
      </c>
    </row>
    <row r="919" customHeight="1" spans="1:24">
      <c r="A919" t="s">
        <v>982</v>
      </c>
      <c r="B919">
        <v>41</v>
      </c>
      <c r="C919">
        <v>56</v>
      </c>
      <c r="D919" t="s">
        <v>53</v>
      </c>
      <c r="E919" t="s">
        <v>65</v>
      </c>
      <c r="F919" t="s">
        <v>58</v>
      </c>
      <c r="G919">
        <v>561</v>
      </c>
      <c r="H919">
        <v>12.36</v>
      </c>
      <c r="I919">
        <v>62</v>
      </c>
      <c r="J919">
        <v>446.08</v>
      </c>
      <c r="K919">
        <v>1</v>
      </c>
      <c r="L919" t="s">
        <v>56</v>
      </c>
      <c r="M919">
        <v>0</v>
      </c>
      <c r="N919">
        <v>0</v>
      </c>
      <c r="O919">
        <v>21.3</v>
      </c>
      <c r="P919">
        <v>1</v>
      </c>
      <c r="Q919">
        <v>1</v>
      </c>
      <c r="R919">
        <v>0</v>
      </c>
      <c r="S919" t="s">
        <v>63</v>
      </c>
      <c r="T919">
        <v>0</v>
      </c>
      <c r="U919">
        <v>1</v>
      </c>
      <c r="V919">
        <v>0</v>
      </c>
      <c r="W919">
        <v>0</v>
      </c>
      <c r="X919" t="s">
        <v>58</v>
      </c>
    </row>
    <row r="920" customHeight="1" spans="1:24">
      <c r="A920" t="s">
        <v>983</v>
      </c>
      <c r="B920">
        <v>23</v>
      </c>
      <c r="C920">
        <v>8</v>
      </c>
      <c r="D920" t="s">
        <v>53</v>
      </c>
      <c r="E920" t="s">
        <v>65</v>
      </c>
      <c r="F920" t="s">
        <v>58</v>
      </c>
      <c r="G920">
        <v>677</v>
      </c>
      <c r="H920">
        <v>13.94</v>
      </c>
      <c r="I920">
        <v>99</v>
      </c>
      <c r="J920">
        <v>291.86</v>
      </c>
      <c r="K920">
        <v>0</v>
      </c>
      <c r="L920" t="s">
        <v>62</v>
      </c>
      <c r="M920">
        <v>1</v>
      </c>
      <c r="N920">
        <v>1</v>
      </c>
      <c r="O920">
        <v>13.6</v>
      </c>
      <c r="P920">
        <v>1</v>
      </c>
      <c r="Q920">
        <v>1</v>
      </c>
      <c r="R920">
        <v>1</v>
      </c>
      <c r="S920" t="s">
        <v>57</v>
      </c>
      <c r="T920">
        <v>1</v>
      </c>
      <c r="U920">
        <v>0</v>
      </c>
      <c r="V920">
        <v>0</v>
      </c>
      <c r="W920">
        <v>0</v>
      </c>
      <c r="X920" t="s">
        <v>58</v>
      </c>
    </row>
    <row r="921" customHeight="1" spans="1:24">
      <c r="A921" t="s">
        <v>984</v>
      </c>
      <c r="B921">
        <v>68</v>
      </c>
      <c r="C921">
        <v>8</v>
      </c>
      <c r="D921" t="s">
        <v>60</v>
      </c>
      <c r="E921" t="s">
        <v>69</v>
      </c>
      <c r="F921" t="s">
        <v>58</v>
      </c>
      <c r="G921">
        <v>361</v>
      </c>
      <c r="H921">
        <v>13.37</v>
      </c>
      <c r="I921">
        <v>181</v>
      </c>
      <c r="J921">
        <v>713.03</v>
      </c>
      <c r="K921">
        <v>0</v>
      </c>
      <c r="L921" t="s">
        <v>62</v>
      </c>
      <c r="M921">
        <v>0</v>
      </c>
      <c r="N921">
        <v>0</v>
      </c>
      <c r="O921">
        <v>21.9</v>
      </c>
      <c r="P921">
        <v>1</v>
      </c>
      <c r="Q921">
        <v>0</v>
      </c>
      <c r="R921">
        <v>1</v>
      </c>
      <c r="S921" t="s">
        <v>57</v>
      </c>
      <c r="T921">
        <v>0</v>
      </c>
      <c r="U921">
        <v>0</v>
      </c>
      <c r="V921">
        <v>0</v>
      </c>
      <c r="W921">
        <v>0</v>
      </c>
      <c r="X921" t="s">
        <v>58</v>
      </c>
    </row>
    <row r="922" customHeight="1" spans="1:24">
      <c r="A922" t="s">
        <v>985</v>
      </c>
      <c r="B922">
        <v>64</v>
      </c>
      <c r="C922">
        <v>20</v>
      </c>
      <c r="D922" t="s">
        <v>60</v>
      </c>
      <c r="E922" t="s">
        <v>69</v>
      </c>
      <c r="F922" t="s">
        <v>58</v>
      </c>
      <c r="G922">
        <v>405</v>
      </c>
      <c r="H922">
        <v>30.35</v>
      </c>
      <c r="I922">
        <v>84</v>
      </c>
      <c r="J922">
        <v>690.36</v>
      </c>
      <c r="K922">
        <v>0</v>
      </c>
      <c r="L922" t="s">
        <v>62</v>
      </c>
      <c r="M922">
        <v>1</v>
      </c>
      <c r="N922">
        <v>2</v>
      </c>
      <c r="O922">
        <v>34.3</v>
      </c>
      <c r="P922">
        <v>0</v>
      </c>
      <c r="Q922">
        <v>2</v>
      </c>
      <c r="R922">
        <v>1</v>
      </c>
      <c r="S922" t="s">
        <v>57</v>
      </c>
      <c r="T922">
        <v>1</v>
      </c>
      <c r="U922">
        <v>0</v>
      </c>
      <c r="V922">
        <v>0</v>
      </c>
      <c r="W922">
        <v>0</v>
      </c>
      <c r="X922" t="s">
        <v>58</v>
      </c>
    </row>
    <row r="923" customHeight="1" spans="1:24">
      <c r="A923" t="s">
        <v>986</v>
      </c>
      <c r="B923">
        <v>61</v>
      </c>
      <c r="C923">
        <v>61</v>
      </c>
      <c r="D923" t="s">
        <v>60</v>
      </c>
      <c r="E923" t="s">
        <v>61</v>
      </c>
      <c r="F923" t="s">
        <v>58</v>
      </c>
      <c r="G923">
        <v>321</v>
      </c>
      <c r="H923">
        <v>17.59</v>
      </c>
      <c r="I923">
        <v>137</v>
      </c>
      <c r="J923">
        <v>531.36</v>
      </c>
      <c r="K923">
        <v>0</v>
      </c>
      <c r="L923" t="s">
        <v>62</v>
      </c>
      <c r="M923">
        <v>0</v>
      </c>
      <c r="N923">
        <v>0</v>
      </c>
      <c r="O923">
        <v>9.3</v>
      </c>
      <c r="P923">
        <v>0</v>
      </c>
      <c r="Q923">
        <v>0</v>
      </c>
      <c r="R923">
        <v>0</v>
      </c>
      <c r="S923" t="s">
        <v>63</v>
      </c>
      <c r="T923">
        <v>0</v>
      </c>
      <c r="U923">
        <v>0</v>
      </c>
      <c r="V923">
        <v>0</v>
      </c>
      <c r="W923">
        <v>0</v>
      </c>
      <c r="X923" t="s">
        <v>58</v>
      </c>
    </row>
    <row r="924" customHeight="1" spans="1:24">
      <c r="A924" t="s">
        <v>987</v>
      </c>
      <c r="B924">
        <v>54</v>
      </c>
      <c r="C924">
        <v>38</v>
      </c>
      <c r="D924" t="s">
        <v>72</v>
      </c>
      <c r="E924" t="s">
        <v>76</v>
      </c>
      <c r="F924" t="s">
        <v>58</v>
      </c>
      <c r="G924">
        <v>348</v>
      </c>
      <c r="H924">
        <v>18.79</v>
      </c>
      <c r="I924">
        <v>119</v>
      </c>
      <c r="J924">
        <v>1449.21</v>
      </c>
      <c r="K924">
        <v>1</v>
      </c>
      <c r="L924" t="s">
        <v>56</v>
      </c>
      <c r="M924">
        <v>1</v>
      </c>
      <c r="N924">
        <v>1</v>
      </c>
      <c r="O924">
        <v>30.9</v>
      </c>
      <c r="P924">
        <v>1</v>
      </c>
      <c r="Q924">
        <v>1</v>
      </c>
      <c r="R924">
        <v>0</v>
      </c>
      <c r="S924" t="s">
        <v>63</v>
      </c>
      <c r="T924">
        <v>1</v>
      </c>
      <c r="U924">
        <v>1</v>
      </c>
      <c r="V924">
        <v>0</v>
      </c>
      <c r="W924">
        <v>0</v>
      </c>
      <c r="X924" t="s">
        <v>58</v>
      </c>
    </row>
    <row r="925" customHeight="1" spans="1:24">
      <c r="A925" t="s">
        <v>988</v>
      </c>
      <c r="B925">
        <v>52</v>
      </c>
      <c r="C925">
        <v>71</v>
      </c>
      <c r="D925" t="s">
        <v>60</v>
      </c>
      <c r="E925" t="s">
        <v>69</v>
      </c>
      <c r="F925" t="s">
        <v>58</v>
      </c>
      <c r="G925">
        <v>657</v>
      </c>
      <c r="H925">
        <v>13.59</v>
      </c>
      <c r="I925">
        <v>80</v>
      </c>
      <c r="J925">
        <v>794.83</v>
      </c>
      <c r="K925">
        <v>0</v>
      </c>
      <c r="L925" t="s">
        <v>62</v>
      </c>
      <c r="M925">
        <v>1</v>
      </c>
      <c r="N925">
        <v>2</v>
      </c>
      <c r="O925">
        <v>15.9</v>
      </c>
      <c r="P925">
        <v>1</v>
      </c>
      <c r="Q925">
        <v>0</v>
      </c>
      <c r="R925">
        <v>0</v>
      </c>
      <c r="S925" t="s">
        <v>63</v>
      </c>
      <c r="T925">
        <v>1</v>
      </c>
      <c r="U925">
        <v>0</v>
      </c>
      <c r="V925">
        <v>0</v>
      </c>
      <c r="W925">
        <v>0</v>
      </c>
      <c r="X925" t="s">
        <v>58</v>
      </c>
    </row>
    <row r="926" customHeight="1" spans="1:24">
      <c r="A926" t="s">
        <v>989</v>
      </c>
      <c r="B926">
        <v>40</v>
      </c>
      <c r="C926">
        <v>63</v>
      </c>
      <c r="D926" t="s">
        <v>53</v>
      </c>
      <c r="E926" t="s">
        <v>54</v>
      </c>
      <c r="F926" t="s">
        <v>58</v>
      </c>
      <c r="G926">
        <v>249</v>
      </c>
      <c r="H926">
        <v>22.63</v>
      </c>
      <c r="I926">
        <v>83</v>
      </c>
      <c r="J926">
        <v>430.18</v>
      </c>
      <c r="K926">
        <v>3</v>
      </c>
      <c r="L926" t="s">
        <v>56</v>
      </c>
      <c r="M926">
        <v>1</v>
      </c>
      <c r="N926">
        <v>2</v>
      </c>
      <c r="O926">
        <v>26.9</v>
      </c>
      <c r="P926">
        <v>0</v>
      </c>
      <c r="Q926">
        <v>0</v>
      </c>
      <c r="R926">
        <v>0</v>
      </c>
      <c r="S926" t="s">
        <v>63</v>
      </c>
      <c r="T926">
        <v>1</v>
      </c>
      <c r="U926">
        <v>1</v>
      </c>
      <c r="V926">
        <v>0</v>
      </c>
      <c r="W926">
        <v>0</v>
      </c>
      <c r="X926" t="s">
        <v>58</v>
      </c>
    </row>
    <row r="927" customHeight="1" spans="1:24">
      <c r="A927" t="s">
        <v>990</v>
      </c>
      <c r="B927">
        <v>57</v>
      </c>
      <c r="C927">
        <v>40</v>
      </c>
      <c r="D927" t="s">
        <v>60</v>
      </c>
      <c r="E927" t="s">
        <v>76</v>
      </c>
      <c r="F927" t="s">
        <v>58</v>
      </c>
      <c r="G927">
        <v>259</v>
      </c>
      <c r="H927">
        <v>31.49</v>
      </c>
      <c r="I927">
        <v>141</v>
      </c>
      <c r="J927">
        <v>736.28</v>
      </c>
      <c r="K927">
        <v>0</v>
      </c>
      <c r="L927" t="s">
        <v>62</v>
      </c>
      <c r="M927">
        <v>1</v>
      </c>
      <c r="N927">
        <v>2</v>
      </c>
      <c r="O927">
        <v>17.2</v>
      </c>
      <c r="P927">
        <v>0</v>
      </c>
      <c r="Q927">
        <v>0</v>
      </c>
      <c r="R927">
        <v>0</v>
      </c>
      <c r="S927" t="s">
        <v>63</v>
      </c>
      <c r="T927">
        <v>1</v>
      </c>
      <c r="U927">
        <v>0</v>
      </c>
      <c r="V927">
        <v>0</v>
      </c>
      <c r="W927">
        <v>0</v>
      </c>
      <c r="X927" t="s">
        <v>58</v>
      </c>
    </row>
    <row r="928" customHeight="1" spans="1:24">
      <c r="A928" t="s">
        <v>991</v>
      </c>
      <c r="B928">
        <v>74</v>
      </c>
      <c r="C928">
        <v>49</v>
      </c>
      <c r="D928" t="s">
        <v>60</v>
      </c>
      <c r="E928" t="s">
        <v>76</v>
      </c>
      <c r="F928" t="s">
        <v>58</v>
      </c>
      <c r="G928">
        <v>642</v>
      </c>
      <c r="H928">
        <v>24.48</v>
      </c>
      <c r="I928">
        <v>52</v>
      </c>
      <c r="J928">
        <v>823.61</v>
      </c>
      <c r="K928">
        <v>0</v>
      </c>
      <c r="L928" t="s">
        <v>62</v>
      </c>
      <c r="M928">
        <v>0</v>
      </c>
      <c r="N928">
        <v>0</v>
      </c>
      <c r="O928">
        <v>23.7</v>
      </c>
      <c r="P928">
        <v>1</v>
      </c>
      <c r="Q928">
        <v>0</v>
      </c>
      <c r="R928">
        <v>0</v>
      </c>
      <c r="S928" t="s">
        <v>63</v>
      </c>
      <c r="T928">
        <v>0</v>
      </c>
      <c r="U928">
        <v>0</v>
      </c>
      <c r="V928">
        <v>0</v>
      </c>
      <c r="W928">
        <v>0</v>
      </c>
      <c r="X928" t="s">
        <v>58</v>
      </c>
    </row>
    <row r="929" customHeight="1" spans="1:24">
      <c r="A929" t="s">
        <v>992</v>
      </c>
      <c r="B929">
        <v>32</v>
      </c>
      <c r="C929">
        <v>24</v>
      </c>
      <c r="D929" t="s">
        <v>53</v>
      </c>
      <c r="E929" t="s">
        <v>69</v>
      </c>
      <c r="F929" t="s">
        <v>55</v>
      </c>
      <c r="G929">
        <v>494</v>
      </c>
      <c r="H929">
        <v>17.41</v>
      </c>
      <c r="I929">
        <v>152</v>
      </c>
      <c r="J929">
        <v>432.14</v>
      </c>
      <c r="K929">
        <v>0</v>
      </c>
      <c r="L929" t="s">
        <v>62</v>
      </c>
      <c r="M929">
        <v>2</v>
      </c>
      <c r="N929">
        <v>2</v>
      </c>
      <c r="O929">
        <v>42.3</v>
      </c>
      <c r="P929">
        <v>0</v>
      </c>
      <c r="Q929">
        <v>1</v>
      </c>
      <c r="R929">
        <v>1</v>
      </c>
      <c r="S929" t="s">
        <v>57</v>
      </c>
      <c r="T929">
        <v>1</v>
      </c>
      <c r="U929">
        <v>0</v>
      </c>
      <c r="V929">
        <v>1</v>
      </c>
      <c r="W929">
        <v>1</v>
      </c>
      <c r="X929" t="s">
        <v>55</v>
      </c>
    </row>
    <row r="930" customHeight="1" spans="1:24">
      <c r="A930" t="s">
        <v>993</v>
      </c>
      <c r="B930">
        <v>37</v>
      </c>
      <c r="C930">
        <v>7</v>
      </c>
      <c r="D930" t="s">
        <v>53</v>
      </c>
      <c r="E930" t="s">
        <v>61</v>
      </c>
      <c r="F930" t="s">
        <v>58</v>
      </c>
      <c r="G930">
        <v>718</v>
      </c>
      <c r="H930">
        <v>24.06</v>
      </c>
      <c r="I930">
        <v>87</v>
      </c>
      <c r="J930">
        <v>342.46</v>
      </c>
      <c r="K930">
        <v>0</v>
      </c>
      <c r="L930" t="s">
        <v>62</v>
      </c>
      <c r="M930">
        <v>0</v>
      </c>
      <c r="N930">
        <v>0</v>
      </c>
      <c r="O930">
        <v>7.1</v>
      </c>
      <c r="P930">
        <v>1</v>
      </c>
      <c r="Q930">
        <v>2</v>
      </c>
      <c r="R930">
        <v>1</v>
      </c>
      <c r="S930" t="s">
        <v>57</v>
      </c>
      <c r="T930">
        <v>0</v>
      </c>
      <c r="U930">
        <v>0</v>
      </c>
      <c r="V930">
        <v>0</v>
      </c>
      <c r="W930">
        <v>0</v>
      </c>
      <c r="X930" t="s">
        <v>58</v>
      </c>
    </row>
    <row r="931" customHeight="1" spans="1:24">
      <c r="A931" t="s">
        <v>994</v>
      </c>
      <c r="B931">
        <v>24</v>
      </c>
      <c r="C931">
        <v>29</v>
      </c>
      <c r="D931" t="s">
        <v>60</v>
      </c>
      <c r="E931" t="s">
        <v>69</v>
      </c>
      <c r="F931" t="s">
        <v>55</v>
      </c>
      <c r="G931">
        <v>332</v>
      </c>
      <c r="H931">
        <v>4.2</v>
      </c>
      <c r="I931">
        <v>129</v>
      </c>
      <c r="J931">
        <v>636.37</v>
      </c>
      <c r="K931">
        <v>0</v>
      </c>
      <c r="L931" t="s">
        <v>62</v>
      </c>
      <c r="M931">
        <v>0</v>
      </c>
      <c r="N931">
        <v>0</v>
      </c>
      <c r="O931">
        <v>29.8</v>
      </c>
      <c r="P931">
        <v>1</v>
      </c>
      <c r="Q931">
        <v>1</v>
      </c>
      <c r="R931">
        <v>0</v>
      </c>
      <c r="S931" t="s">
        <v>63</v>
      </c>
      <c r="T931">
        <v>0</v>
      </c>
      <c r="U931">
        <v>0</v>
      </c>
      <c r="V931">
        <v>1</v>
      </c>
      <c r="W931">
        <v>1</v>
      </c>
      <c r="X931" t="s">
        <v>58</v>
      </c>
    </row>
    <row r="932" customHeight="1" spans="1:24">
      <c r="A932" t="s">
        <v>995</v>
      </c>
      <c r="B932">
        <v>70</v>
      </c>
      <c r="C932">
        <v>43</v>
      </c>
      <c r="D932" t="s">
        <v>60</v>
      </c>
      <c r="E932" t="s">
        <v>65</v>
      </c>
      <c r="F932" t="s">
        <v>58</v>
      </c>
      <c r="G932">
        <v>419</v>
      </c>
      <c r="H932">
        <v>9.24</v>
      </c>
      <c r="I932">
        <v>217</v>
      </c>
      <c r="J932">
        <v>927.15</v>
      </c>
      <c r="K932">
        <v>0</v>
      </c>
      <c r="L932" t="s">
        <v>62</v>
      </c>
      <c r="M932">
        <v>1</v>
      </c>
      <c r="N932">
        <v>2</v>
      </c>
      <c r="O932">
        <v>44.8</v>
      </c>
      <c r="P932">
        <v>1</v>
      </c>
      <c r="Q932">
        <v>1</v>
      </c>
      <c r="R932">
        <v>1</v>
      </c>
      <c r="S932" t="s">
        <v>63</v>
      </c>
      <c r="T932">
        <v>1</v>
      </c>
      <c r="U932">
        <v>0</v>
      </c>
      <c r="V932">
        <v>0</v>
      </c>
      <c r="W932">
        <v>0</v>
      </c>
      <c r="X932" t="s">
        <v>58</v>
      </c>
    </row>
    <row r="933" customHeight="1" spans="1:24">
      <c r="A933" t="s">
        <v>996</v>
      </c>
      <c r="B933">
        <v>48</v>
      </c>
      <c r="C933">
        <v>14</v>
      </c>
      <c r="D933" t="s">
        <v>53</v>
      </c>
      <c r="E933" t="s">
        <v>76</v>
      </c>
      <c r="F933" t="s">
        <v>55</v>
      </c>
      <c r="G933">
        <v>301</v>
      </c>
      <c r="H933">
        <v>15.95</v>
      </c>
      <c r="I933">
        <v>108</v>
      </c>
      <c r="J933">
        <v>449.42</v>
      </c>
      <c r="K933">
        <v>0</v>
      </c>
      <c r="L933" t="s">
        <v>62</v>
      </c>
      <c r="M933">
        <v>2</v>
      </c>
      <c r="N933">
        <v>2</v>
      </c>
      <c r="O933">
        <v>32.2</v>
      </c>
      <c r="P933">
        <v>2</v>
      </c>
      <c r="Q933">
        <v>0</v>
      </c>
      <c r="R933">
        <v>1</v>
      </c>
      <c r="S933" t="s">
        <v>57</v>
      </c>
      <c r="T933">
        <v>1</v>
      </c>
      <c r="U933">
        <v>0</v>
      </c>
      <c r="V933">
        <v>0</v>
      </c>
      <c r="W933">
        <v>1</v>
      </c>
      <c r="X933" t="s">
        <v>55</v>
      </c>
    </row>
    <row r="934" customHeight="1" spans="1:24">
      <c r="A934" t="s">
        <v>997</v>
      </c>
      <c r="B934">
        <v>52</v>
      </c>
      <c r="C934">
        <v>16</v>
      </c>
      <c r="D934" t="s">
        <v>60</v>
      </c>
      <c r="E934" t="s">
        <v>117</v>
      </c>
      <c r="F934" t="s">
        <v>55</v>
      </c>
      <c r="G934">
        <v>421</v>
      </c>
      <c r="H934">
        <v>10.74</v>
      </c>
      <c r="I934">
        <v>184</v>
      </c>
      <c r="J934">
        <v>529.73</v>
      </c>
      <c r="K934">
        <v>0</v>
      </c>
      <c r="L934" t="s">
        <v>62</v>
      </c>
      <c r="M934">
        <v>1</v>
      </c>
      <c r="N934">
        <v>3</v>
      </c>
      <c r="O934">
        <v>8</v>
      </c>
      <c r="P934">
        <v>1</v>
      </c>
      <c r="Q934">
        <v>0</v>
      </c>
      <c r="R934">
        <v>0</v>
      </c>
      <c r="S934" t="s">
        <v>57</v>
      </c>
      <c r="T934">
        <v>1</v>
      </c>
      <c r="U934">
        <v>0</v>
      </c>
      <c r="V934">
        <v>0</v>
      </c>
      <c r="W934">
        <v>1</v>
      </c>
      <c r="X934" t="s">
        <v>55</v>
      </c>
    </row>
    <row r="935" customHeight="1" spans="1:24">
      <c r="A935" t="s">
        <v>998</v>
      </c>
      <c r="B935">
        <v>33</v>
      </c>
      <c r="C935">
        <v>2</v>
      </c>
      <c r="D935" t="s">
        <v>60</v>
      </c>
      <c r="E935" t="s">
        <v>61</v>
      </c>
      <c r="F935" t="s">
        <v>55</v>
      </c>
      <c r="G935">
        <v>134</v>
      </c>
      <c r="H935">
        <v>7.35</v>
      </c>
      <c r="I935">
        <v>0</v>
      </c>
      <c r="J935">
        <v>598.62</v>
      </c>
      <c r="K935">
        <v>0</v>
      </c>
      <c r="L935" t="s">
        <v>62</v>
      </c>
      <c r="M935">
        <v>1</v>
      </c>
      <c r="N935">
        <v>2</v>
      </c>
      <c r="O935">
        <v>8.6</v>
      </c>
      <c r="P935">
        <v>2</v>
      </c>
      <c r="Q935">
        <v>1</v>
      </c>
      <c r="R935">
        <v>1</v>
      </c>
      <c r="S935" t="s">
        <v>66</v>
      </c>
      <c r="T935">
        <v>1</v>
      </c>
      <c r="U935">
        <v>0</v>
      </c>
      <c r="V935">
        <v>0</v>
      </c>
      <c r="W935">
        <v>1</v>
      </c>
      <c r="X935" t="s">
        <v>55</v>
      </c>
    </row>
    <row r="936" customHeight="1" spans="1:24">
      <c r="A936" t="s">
        <v>999</v>
      </c>
      <c r="B936">
        <v>20</v>
      </c>
      <c r="C936">
        <v>53</v>
      </c>
      <c r="D936" t="s">
        <v>60</v>
      </c>
      <c r="E936" t="s">
        <v>61</v>
      </c>
      <c r="F936" t="s">
        <v>58</v>
      </c>
      <c r="G936">
        <v>503</v>
      </c>
      <c r="H936">
        <v>0.5</v>
      </c>
      <c r="I936">
        <v>87</v>
      </c>
      <c r="J936">
        <v>736.77</v>
      </c>
      <c r="K936">
        <v>0</v>
      </c>
      <c r="L936" t="s">
        <v>62</v>
      </c>
      <c r="M936">
        <v>1</v>
      </c>
      <c r="N936">
        <v>2</v>
      </c>
      <c r="O936">
        <v>15</v>
      </c>
      <c r="P936">
        <v>1</v>
      </c>
      <c r="Q936">
        <v>1</v>
      </c>
      <c r="R936">
        <v>0</v>
      </c>
      <c r="S936" t="s">
        <v>63</v>
      </c>
      <c r="T936">
        <v>1</v>
      </c>
      <c r="U936">
        <v>0</v>
      </c>
      <c r="V936">
        <v>1</v>
      </c>
      <c r="W936">
        <v>0</v>
      </c>
      <c r="X936" t="s">
        <v>58</v>
      </c>
    </row>
    <row r="937" customHeight="1" spans="1:24">
      <c r="A937" t="s">
        <v>1000</v>
      </c>
      <c r="B937">
        <v>64</v>
      </c>
      <c r="C937">
        <v>65</v>
      </c>
      <c r="D937" t="s">
        <v>72</v>
      </c>
      <c r="E937" t="s">
        <v>61</v>
      </c>
      <c r="F937" t="s">
        <v>55</v>
      </c>
      <c r="G937">
        <v>449</v>
      </c>
      <c r="H937">
        <v>4.53</v>
      </c>
      <c r="I937">
        <v>122</v>
      </c>
      <c r="J937">
        <v>1112.38</v>
      </c>
      <c r="K937">
        <v>0</v>
      </c>
      <c r="L937" t="s">
        <v>62</v>
      </c>
      <c r="M937">
        <v>0</v>
      </c>
      <c r="N937">
        <v>1</v>
      </c>
      <c r="O937">
        <v>25.9</v>
      </c>
      <c r="P937">
        <v>4</v>
      </c>
      <c r="Q937">
        <v>1</v>
      </c>
      <c r="R937">
        <v>0</v>
      </c>
      <c r="S937" t="s">
        <v>63</v>
      </c>
      <c r="T937">
        <v>0</v>
      </c>
      <c r="U937">
        <v>0</v>
      </c>
      <c r="V937">
        <v>1</v>
      </c>
      <c r="W937">
        <v>1</v>
      </c>
      <c r="X937" t="s">
        <v>55</v>
      </c>
    </row>
    <row r="938" customHeight="1" spans="1:24">
      <c r="A938" t="s">
        <v>1001</v>
      </c>
      <c r="B938">
        <v>67</v>
      </c>
      <c r="C938">
        <v>60</v>
      </c>
      <c r="D938" t="s">
        <v>72</v>
      </c>
      <c r="E938" t="s">
        <v>54</v>
      </c>
      <c r="F938" t="s">
        <v>58</v>
      </c>
      <c r="G938">
        <v>391</v>
      </c>
      <c r="H938">
        <v>15.43</v>
      </c>
      <c r="I938">
        <v>255</v>
      </c>
      <c r="J938">
        <v>1298.87</v>
      </c>
      <c r="K938">
        <v>1</v>
      </c>
      <c r="L938" t="s">
        <v>56</v>
      </c>
      <c r="M938">
        <v>0</v>
      </c>
      <c r="N938">
        <v>0</v>
      </c>
      <c r="O938">
        <v>26.7</v>
      </c>
      <c r="P938">
        <v>1</v>
      </c>
      <c r="Q938">
        <v>0</v>
      </c>
      <c r="R938">
        <v>1</v>
      </c>
      <c r="S938" t="s">
        <v>63</v>
      </c>
      <c r="T938">
        <v>0</v>
      </c>
      <c r="U938">
        <v>1</v>
      </c>
      <c r="V938">
        <v>0</v>
      </c>
      <c r="W938">
        <v>0</v>
      </c>
      <c r="X938" t="s">
        <v>58</v>
      </c>
    </row>
    <row r="939" customHeight="1" spans="1:24">
      <c r="A939" t="s">
        <v>1002</v>
      </c>
      <c r="B939">
        <v>37</v>
      </c>
      <c r="C939">
        <v>28</v>
      </c>
      <c r="D939" t="s">
        <v>60</v>
      </c>
      <c r="E939" t="s">
        <v>54</v>
      </c>
      <c r="F939" t="s">
        <v>58</v>
      </c>
      <c r="G939">
        <v>341</v>
      </c>
      <c r="H939">
        <v>17.31</v>
      </c>
      <c r="I939">
        <v>0</v>
      </c>
      <c r="J939">
        <v>944.48</v>
      </c>
      <c r="K939">
        <v>0</v>
      </c>
      <c r="L939" t="s">
        <v>62</v>
      </c>
      <c r="M939">
        <v>1</v>
      </c>
      <c r="N939">
        <v>2</v>
      </c>
      <c r="O939">
        <v>8.7</v>
      </c>
      <c r="P939">
        <v>0</v>
      </c>
      <c r="Q939">
        <v>0</v>
      </c>
      <c r="R939">
        <v>2</v>
      </c>
      <c r="S939" t="s">
        <v>63</v>
      </c>
      <c r="T939">
        <v>1</v>
      </c>
      <c r="U939">
        <v>0</v>
      </c>
      <c r="V939">
        <v>0</v>
      </c>
      <c r="W939">
        <v>0</v>
      </c>
      <c r="X939" t="s">
        <v>58</v>
      </c>
    </row>
    <row r="940" customHeight="1" spans="1:24">
      <c r="A940" t="s">
        <v>1003</v>
      </c>
      <c r="B940">
        <v>62</v>
      </c>
      <c r="C940">
        <v>43</v>
      </c>
      <c r="D940" t="s">
        <v>53</v>
      </c>
      <c r="E940" t="s">
        <v>61</v>
      </c>
      <c r="F940" t="s">
        <v>55</v>
      </c>
      <c r="G940">
        <v>266</v>
      </c>
      <c r="H940">
        <v>10.07</v>
      </c>
      <c r="I940">
        <v>113</v>
      </c>
      <c r="J940">
        <v>472.74</v>
      </c>
      <c r="K940">
        <v>0</v>
      </c>
      <c r="L940" t="s">
        <v>62</v>
      </c>
      <c r="M940">
        <v>0</v>
      </c>
      <c r="N940">
        <v>0</v>
      </c>
      <c r="O940">
        <v>13.5</v>
      </c>
      <c r="P940">
        <v>2</v>
      </c>
      <c r="Q940">
        <v>0</v>
      </c>
      <c r="R940">
        <v>0</v>
      </c>
      <c r="S940" t="s">
        <v>63</v>
      </c>
      <c r="T940">
        <v>0</v>
      </c>
      <c r="U940">
        <v>0</v>
      </c>
      <c r="V940">
        <v>0</v>
      </c>
      <c r="W940">
        <v>1</v>
      </c>
      <c r="X940" t="s">
        <v>55</v>
      </c>
    </row>
    <row r="941" customHeight="1" spans="1:24">
      <c r="A941" t="s">
        <v>1004</v>
      </c>
      <c r="B941">
        <v>51</v>
      </c>
      <c r="C941">
        <v>70</v>
      </c>
      <c r="D941" t="s">
        <v>60</v>
      </c>
      <c r="E941" t="s">
        <v>65</v>
      </c>
      <c r="F941" t="s">
        <v>58</v>
      </c>
      <c r="G941">
        <v>509</v>
      </c>
      <c r="H941">
        <v>18.79</v>
      </c>
      <c r="I941">
        <v>222</v>
      </c>
      <c r="J941">
        <v>797.48</v>
      </c>
      <c r="K941">
        <v>0</v>
      </c>
      <c r="L941" t="s">
        <v>62</v>
      </c>
      <c r="M941">
        <v>0</v>
      </c>
      <c r="N941">
        <v>0</v>
      </c>
      <c r="O941">
        <v>14.3</v>
      </c>
      <c r="P941">
        <v>1</v>
      </c>
      <c r="Q941">
        <v>2</v>
      </c>
      <c r="R941">
        <v>0</v>
      </c>
      <c r="S941" t="s">
        <v>63</v>
      </c>
      <c r="T941">
        <v>0</v>
      </c>
      <c r="U941">
        <v>0</v>
      </c>
      <c r="V941">
        <v>0</v>
      </c>
      <c r="W941">
        <v>0</v>
      </c>
      <c r="X941" t="s">
        <v>58</v>
      </c>
    </row>
    <row r="942" customHeight="1" spans="1:24">
      <c r="A942" t="s">
        <v>1005</v>
      </c>
      <c r="B942">
        <v>55</v>
      </c>
      <c r="C942">
        <v>43</v>
      </c>
      <c r="D942" t="s">
        <v>60</v>
      </c>
      <c r="E942" t="s">
        <v>69</v>
      </c>
      <c r="F942" t="s">
        <v>58</v>
      </c>
      <c r="G942">
        <v>224</v>
      </c>
      <c r="H942">
        <v>13.66</v>
      </c>
      <c r="I942">
        <v>65</v>
      </c>
      <c r="J942">
        <v>680.8</v>
      </c>
      <c r="K942">
        <v>0</v>
      </c>
      <c r="L942" t="s">
        <v>62</v>
      </c>
      <c r="M942">
        <v>0</v>
      </c>
      <c r="N942">
        <v>0</v>
      </c>
      <c r="O942">
        <v>21.8</v>
      </c>
      <c r="P942">
        <v>0</v>
      </c>
      <c r="Q942">
        <v>0</v>
      </c>
      <c r="R942">
        <v>0</v>
      </c>
      <c r="S942" t="s">
        <v>63</v>
      </c>
      <c r="T942">
        <v>0</v>
      </c>
      <c r="U942">
        <v>0</v>
      </c>
      <c r="V942">
        <v>0</v>
      </c>
      <c r="W942">
        <v>0</v>
      </c>
      <c r="X942" t="s">
        <v>58</v>
      </c>
    </row>
    <row r="943" customHeight="1" spans="1:24">
      <c r="A943" t="s">
        <v>1006</v>
      </c>
      <c r="B943">
        <v>28</v>
      </c>
      <c r="C943">
        <v>22</v>
      </c>
      <c r="D943" t="s">
        <v>53</v>
      </c>
      <c r="E943" t="s">
        <v>65</v>
      </c>
      <c r="F943" t="s">
        <v>55</v>
      </c>
      <c r="G943">
        <v>477</v>
      </c>
      <c r="H943">
        <v>28.91</v>
      </c>
      <c r="I943">
        <v>105</v>
      </c>
      <c r="J943">
        <v>444.86</v>
      </c>
      <c r="K943">
        <v>0</v>
      </c>
      <c r="L943" t="s">
        <v>62</v>
      </c>
      <c r="M943">
        <v>4</v>
      </c>
      <c r="N943">
        <v>4</v>
      </c>
      <c r="O943">
        <v>47.8</v>
      </c>
      <c r="P943">
        <v>2</v>
      </c>
      <c r="Q943">
        <v>0</v>
      </c>
      <c r="R943">
        <v>0</v>
      </c>
      <c r="S943" t="s">
        <v>57</v>
      </c>
      <c r="T943">
        <v>1</v>
      </c>
      <c r="U943">
        <v>0</v>
      </c>
      <c r="V943">
        <v>0</v>
      </c>
      <c r="W943">
        <v>1</v>
      </c>
      <c r="X943" t="s">
        <v>55</v>
      </c>
    </row>
    <row r="944" customHeight="1" spans="1:24">
      <c r="A944" t="s">
        <v>1007</v>
      </c>
      <c r="B944">
        <v>53</v>
      </c>
      <c r="C944">
        <v>25</v>
      </c>
      <c r="D944" t="s">
        <v>53</v>
      </c>
      <c r="E944" t="s">
        <v>69</v>
      </c>
      <c r="F944" t="s">
        <v>58</v>
      </c>
      <c r="G944">
        <v>711</v>
      </c>
      <c r="H944">
        <v>16.38</v>
      </c>
      <c r="I944">
        <v>143</v>
      </c>
      <c r="J944">
        <v>479.83</v>
      </c>
      <c r="K944">
        <v>1</v>
      </c>
      <c r="L944" t="s">
        <v>56</v>
      </c>
      <c r="M944">
        <v>0</v>
      </c>
      <c r="N944">
        <v>0</v>
      </c>
      <c r="O944">
        <v>12.8</v>
      </c>
      <c r="P944">
        <v>0</v>
      </c>
      <c r="Q944">
        <v>2</v>
      </c>
      <c r="R944">
        <v>1</v>
      </c>
      <c r="S944" t="s">
        <v>63</v>
      </c>
      <c r="T944">
        <v>0</v>
      </c>
      <c r="U944">
        <v>1</v>
      </c>
      <c r="V944">
        <v>0</v>
      </c>
      <c r="W944">
        <v>0</v>
      </c>
      <c r="X944" t="s">
        <v>58</v>
      </c>
    </row>
    <row r="945" customHeight="1" spans="1:24">
      <c r="A945" t="s">
        <v>1008</v>
      </c>
      <c r="B945">
        <v>27</v>
      </c>
      <c r="C945">
        <v>53</v>
      </c>
      <c r="D945" t="s">
        <v>53</v>
      </c>
      <c r="E945" t="s">
        <v>61</v>
      </c>
      <c r="F945" t="s">
        <v>58</v>
      </c>
      <c r="G945">
        <v>623</v>
      </c>
      <c r="H945">
        <v>24.96</v>
      </c>
      <c r="I945">
        <v>133</v>
      </c>
      <c r="J945">
        <v>448.36</v>
      </c>
      <c r="K945">
        <v>0</v>
      </c>
      <c r="L945" t="s">
        <v>62</v>
      </c>
      <c r="M945">
        <v>1</v>
      </c>
      <c r="N945">
        <v>1</v>
      </c>
      <c r="O945">
        <v>12.3</v>
      </c>
      <c r="P945">
        <v>1</v>
      </c>
      <c r="Q945">
        <v>1</v>
      </c>
      <c r="R945">
        <v>0</v>
      </c>
      <c r="S945" t="s">
        <v>63</v>
      </c>
      <c r="T945">
        <v>1</v>
      </c>
      <c r="U945">
        <v>0</v>
      </c>
      <c r="V945">
        <v>0</v>
      </c>
      <c r="W945">
        <v>0</v>
      </c>
      <c r="X945" t="s">
        <v>58</v>
      </c>
    </row>
    <row r="946" customHeight="1" spans="1:24">
      <c r="A946" t="s">
        <v>1009</v>
      </c>
      <c r="B946">
        <v>30</v>
      </c>
      <c r="C946">
        <v>33</v>
      </c>
      <c r="D946" t="s">
        <v>60</v>
      </c>
      <c r="E946" t="s">
        <v>54</v>
      </c>
      <c r="F946" t="s">
        <v>58</v>
      </c>
      <c r="G946">
        <v>174</v>
      </c>
      <c r="H946">
        <v>20.03</v>
      </c>
      <c r="I946">
        <v>230</v>
      </c>
      <c r="J946">
        <v>811.1</v>
      </c>
      <c r="K946">
        <v>1</v>
      </c>
      <c r="L946" t="s">
        <v>56</v>
      </c>
      <c r="M946">
        <v>0</v>
      </c>
      <c r="N946">
        <v>1</v>
      </c>
      <c r="O946">
        <v>10.4</v>
      </c>
      <c r="P946">
        <v>1</v>
      </c>
      <c r="Q946">
        <v>0</v>
      </c>
      <c r="R946">
        <v>0</v>
      </c>
      <c r="S946" t="s">
        <v>63</v>
      </c>
      <c r="T946">
        <v>0</v>
      </c>
      <c r="U946">
        <v>1</v>
      </c>
      <c r="V946">
        <v>0</v>
      </c>
      <c r="W946">
        <v>0</v>
      </c>
      <c r="X946" t="s">
        <v>58</v>
      </c>
    </row>
    <row r="947" customHeight="1" spans="1:24">
      <c r="A947" t="s">
        <v>1010</v>
      </c>
      <c r="B947">
        <v>38</v>
      </c>
      <c r="C947">
        <v>61</v>
      </c>
      <c r="D947" t="s">
        <v>60</v>
      </c>
      <c r="E947" t="s">
        <v>69</v>
      </c>
      <c r="F947" t="s">
        <v>58</v>
      </c>
      <c r="G947">
        <v>319</v>
      </c>
      <c r="H947">
        <v>3.98</v>
      </c>
      <c r="I947">
        <v>151</v>
      </c>
      <c r="J947">
        <v>587.1</v>
      </c>
      <c r="K947">
        <v>0</v>
      </c>
      <c r="L947" t="s">
        <v>62</v>
      </c>
      <c r="M947">
        <v>1</v>
      </c>
      <c r="N947">
        <v>1</v>
      </c>
      <c r="O947">
        <v>31.6</v>
      </c>
      <c r="P947">
        <v>1</v>
      </c>
      <c r="Q947">
        <v>1</v>
      </c>
      <c r="R947">
        <v>0</v>
      </c>
      <c r="S947" t="s">
        <v>63</v>
      </c>
      <c r="T947">
        <v>1</v>
      </c>
      <c r="U947">
        <v>0</v>
      </c>
      <c r="V947">
        <v>1</v>
      </c>
      <c r="W947">
        <v>0</v>
      </c>
      <c r="X947" t="s">
        <v>58</v>
      </c>
    </row>
    <row r="948" customHeight="1" spans="1:24">
      <c r="A948" t="s">
        <v>1011</v>
      </c>
      <c r="B948">
        <v>30</v>
      </c>
      <c r="C948">
        <v>63</v>
      </c>
      <c r="D948" t="s">
        <v>53</v>
      </c>
      <c r="E948" t="s">
        <v>61</v>
      </c>
      <c r="F948" t="s">
        <v>58</v>
      </c>
      <c r="G948">
        <v>463</v>
      </c>
      <c r="H948">
        <v>17.09</v>
      </c>
      <c r="I948">
        <v>213</v>
      </c>
      <c r="J948">
        <v>414.24</v>
      </c>
      <c r="K948">
        <v>0</v>
      </c>
      <c r="L948" t="s">
        <v>62</v>
      </c>
      <c r="M948">
        <v>0</v>
      </c>
      <c r="N948">
        <v>0</v>
      </c>
      <c r="O948">
        <v>23.5</v>
      </c>
      <c r="P948">
        <v>0</v>
      </c>
      <c r="Q948">
        <v>0</v>
      </c>
      <c r="R948">
        <v>0</v>
      </c>
      <c r="S948" t="s">
        <v>63</v>
      </c>
      <c r="T948">
        <v>0</v>
      </c>
      <c r="U948">
        <v>0</v>
      </c>
      <c r="V948">
        <v>0</v>
      </c>
      <c r="W948">
        <v>0</v>
      </c>
      <c r="X948" t="s">
        <v>58</v>
      </c>
    </row>
    <row r="949" customHeight="1" spans="1:24">
      <c r="A949" t="s">
        <v>1012</v>
      </c>
      <c r="B949">
        <v>70</v>
      </c>
      <c r="C949">
        <v>3</v>
      </c>
      <c r="D949" t="s">
        <v>72</v>
      </c>
      <c r="E949" t="s">
        <v>61</v>
      </c>
      <c r="F949" t="s">
        <v>58</v>
      </c>
      <c r="G949">
        <v>389</v>
      </c>
      <c r="H949">
        <v>5.64</v>
      </c>
      <c r="I949">
        <v>95</v>
      </c>
      <c r="J949">
        <v>1390.66</v>
      </c>
      <c r="K949">
        <v>1</v>
      </c>
      <c r="L949" t="s">
        <v>56</v>
      </c>
      <c r="M949">
        <v>0</v>
      </c>
      <c r="N949">
        <v>0</v>
      </c>
      <c r="O949">
        <v>13.2</v>
      </c>
      <c r="P949">
        <v>2</v>
      </c>
      <c r="Q949">
        <v>0</v>
      </c>
      <c r="R949">
        <v>0</v>
      </c>
      <c r="S949" t="s">
        <v>66</v>
      </c>
      <c r="T949">
        <v>0</v>
      </c>
      <c r="U949">
        <v>1</v>
      </c>
      <c r="V949">
        <v>0</v>
      </c>
      <c r="W949">
        <v>0</v>
      </c>
      <c r="X949" t="s">
        <v>58</v>
      </c>
    </row>
    <row r="950" customHeight="1" spans="1:24">
      <c r="A950" t="s">
        <v>1013</v>
      </c>
      <c r="B950">
        <v>19</v>
      </c>
      <c r="C950">
        <v>53</v>
      </c>
      <c r="D950" t="s">
        <v>72</v>
      </c>
      <c r="E950" t="s">
        <v>61</v>
      </c>
      <c r="F950" t="s">
        <v>55</v>
      </c>
      <c r="G950">
        <v>190</v>
      </c>
      <c r="H950">
        <v>16.92</v>
      </c>
      <c r="I950">
        <v>68</v>
      </c>
      <c r="J950">
        <v>936.61</v>
      </c>
      <c r="K950">
        <v>0</v>
      </c>
      <c r="L950" t="s">
        <v>62</v>
      </c>
      <c r="M950">
        <v>2</v>
      </c>
      <c r="N950">
        <v>2</v>
      </c>
      <c r="O950">
        <v>19.6</v>
      </c>
      <c r="P950">
        <v>1</v>
      </c>
      <c r="Q950">
        <v>1</v>
      </c>
      <c r="R950">
        <v>0</v>
      </c>
      <c r="S950" t="s">
        <v>63</v>
      </c>
      <c r="T950">
        <v>1</v>
      </c>
      <c r="U950">
        <v>0</v>
      </c>
      <c r="V950">
        <v>0</v>
      </c>
      <c r="W950">
        <v>1</v>
      </c>
      <c r="X950" t="s">
        <v>55</v>
      </c>
    </row>
    <row r="951" customHeight="1" spans="1:24">
      <c r="A951" t="s">
        <v>1014</v>
      </c>
      <c r="B951">
        <v>70</v>
      </c>
      <c r="C951">
        <v>27</v>
      </c>
      <c r="D951" t="s">
        <v>53</v>
      </c>
      <c r="E951" t="s">
        <v>54</v>
      </c>
      <c r="F951" t="s">
        <v>55</v>
      </c>
      <c r="G951">
        <v>458</v>
      </c>
      <c r="H951">
        <v>10.55</v>
      </c>
      <c r="I951">
        <v>104</v>
      </c>
      <c r="J951">
        <v>394.3</v>
      </c>
      <c r="K951">
        <v>1</v>
      </c>
      <c r="L951" t="s">
        <v>56</v>
      </c>
      <c r="M951">
        <v>2</v>
      </c>
      <c r="N951">
        <v>4</v>
      </c>
      <c r="O951">
        <v>14.5</v>
      </c>
      <c r="P951">
        <v>0</v>
      </c>
      <c r="Q951">
        <v>1</v>
      </c>
      <c r="R951">
        <v>0</v>
      </c>
      <c r="S951" t="s">
        <v>63</v>
      </c>
      <c r="T951">
        <v>1</v>
      </c>
      <c r="U951">
        <v>1</v>
      </c>
      <c r="V951">
        <v>0</v>
      </c>
      <c r="W951">
        <v>1</v>
      </c>
      <c r="X951" t="s">
        <v>55</v>
      </c>
    </row>
    <row r="952" customHeight="1" spans="1:24">
      <c r="A952" t="s">
        <v>1015</v>
      </c>
      <c r="B952">
        <v>26</v>
      </c>
      <c r="C952">
        <v>38</v>
      </c>
      <c r="D952" t="s">
        <v>72</v>
      </c>
      <c r="E952" t="s">
        <v>65</v>
      </c>
      <c r="F952" t="s">
        <v>58</v>
      </c>
      <c r="G952">
        <v>398</v>
      </c>
      <c r="H952">
        <v>21.82</v>
      </c>
      <c r="I952">
        <v>39</v>
      </c>
      <c r="J952">
        <v>1025.72</v>
      </c>
      <c r="K952">
        <v>1</v>
      </c>
      <c r="L952" t="s">
        <v>56</v>
      </c>
      <c r="M952">
        <v>1</v>
      </c>
      <c r="N952">
        <v>2</v>
      </c>
      <c r="O952">
        <v>27.6</v>
      </c>
      <c r="P952">
        <v>1</v>
      </c>
      <c r="Q952">
        <v>0</v>
      </c>
      <c r="R952">
        <v>1</v>
      </c>
      <c r="S952" t="s">
        <v>63</v>
      </c>
      <c r="T952">
        <v>1</v>
      </c>
      <c r="U952">
        <v>1</v>
      </c>
      <c r="V952">
        <v>0</v>
      </c>
      <c r="W952">
        <v>0</v>
      </c>
      <c r="X952" t="s">
        <v>58</v>
      </c>
    </row>
    <row r="953" customHeight="1" spans="1:24">
      <c r="A953" t="s">
        <v>1016</v>
      </c>
      <c r="B953">
        <v>68</v>
      </c>
      <c r="C953">
        <v>20</v>
      </c>
      <c r="D953" t="s">
        <v>53</v>
      </c>
      <c r="E953" t="s">
        <v>65</v>
      </c>
      <c r="F953" t="s">
        <v>55</v>
      </c>
      <c r="G953">
        <v>687</v>
      </c>
      <c r="H953">
        <v>4.58</v>
      </c>
      <c r="I953">
        <v>154</v>
      </c>
      <c r="J953">
        <v>490.87</v>
      </c>
      <c r="K953">
        <v>0</v>
      </c>
      <c r="L953" t="s">
        <v>62</v>
      </c>
      <c r="M953">
        <v>1</v>
      </c>
      <c r="N953">
        <v>2</v>
      </c>
      <c r="O953">
        <v>56.2</v>
      </c>
      <c r="P953">
        <v>3</v>
      </c>
      <c r="Q953">
        <v>0</v>
      </c>
      <c r="R953">
        <v>1</v>
      </c>
      <c r="S953" t="s">
        <v>57</v>
      </c>
      <c r="T953">
        <v>1</v>
      </c>
      <c r="U953">
        <v>0</v>
      </c>
      <c r="V953">
        <v>1</v>
      </c>
      <c r="W953">
        <v>1</v>
      </c>
      <c r="X953" t="s">
        <v>55</v>
      </c>
    </row>
    <row r="954" customHeight="1" spans="1:24">
      <c r="A954" t="s">
        <v>1017</v>
      </c>
      <c r="B954">
        <v>37</v>
      </c>
      <c r="C954">
        <v>27</v>
      </c>
      <c r="D954" t="s">
        <v>72</v>
      </c>
      <c r="E954" t="s">
        <v>61</v>
      </c>
      <c r="F954" t="s">
        <v>58</v>
      </c>
      <c r="G954">
        <v>362</v>
      </c>
      <c r="H954">
        <v>18.15</v>
      </c>
      <c r="I954">
        <v>93</v>
      </c>
      <c r="J954">
        <v>1243.11</v>
      </c>
      <c r="K954">
        <v>0</v>
      </c>
      <c r="L954" t="s">
        <v>62</v>
      </c>
      <c r="M954">
        <v>0</v>
      </c>
      <c r="N954">
        <v>1</v>
      </c>
      <c r="O954">
        <v>30.6</v>
      </c>
      <c r="P954">
        <v>0</v>
      </c>
      <c r="Q954">
        <v>1</v>
      </c>
      <c r="R954">
        <v>0</v>
      </c>
      <c r="S954" t="s">
        <v>63</v>
      </c>
      <c r="T954">
        <v>0</v>
      </c>
      <c r="U954">
        <v>0</v>
      </c>
      <c r="V954">
        <v>0</v>
      </c>
      <c r="W954">
        <v>0</v>
      </c>
      <c r="X954" t="s">
        <v>58</v>
      </c>
    </row>
    <row r="955" customHeight="1" spans="1:24">
      <c r="A955" t="s">
        <v>1018</v>
      </c>
      <c r="B955">
        <v>71</v>
      </c>
      <c r="C955">
        <v>24</v>
      </c>
      <c r="D955" t="s">
        <v>72</v>
      </c>
      <c r="E955" t="s">
        <v>76</v>
      </c>
      <c r="F955" t="s">
        <v>58</v>
      </c>
      <c r="G955">
        <v>575</v>
      </c>
      <c r="H955">
        <v>23.72</v>
      </c>
      <c r="I955">
        <v>73</v>
      </c>
      <c r="J955">
        <v>1215.62</v>
      </c>
      <c r="K955">
        <v>1</v>
      </c>
      <c r="L955" t="s">
        <v>56</v>
      </c>
      <c r="M955">
        <v>0</v>
      </c>
      <c r="N955">
        <v>0</v>
      </c>
      <c r="O955">
        <v>23.7</v>
      </c>
      <c r="P955">
        <v>2</v>
      </c>
      <c r="Q955">
        <v>1</v>
      </c>
      <c r="R955">
        <v>0</v>
      </c>
      <c r="S955" t="s">
        <v>57</v>
      </c>
      <c r="T955">
        <v>0</v>
      </c>
      <c r="U955">
        <v>1</v>
      </c>
      <c r="V955">
        <v>0</v>
      </c>
      <c r="W955">
        <v>0</v>
      </c>
      <c r="X955" t="s">
        <v>58</v>
      </c>
    </row>
    <row r="956" customHeight="1" spans="1:24">
      <c r="A956" t="s">
        <v>1019</v>
      </c>
      <c r="B956">
        <v>49</v>
      </c>
      <c r="C956">
        <v>4</v>
      </c>
      <c r="D956" t="s">
        <v>53</v>
      </c>
      <c r="E956" t="s">
        <v>61</v>
      </c>
      <c r="F956" t="s">
        <v>58</v>
      </c>
      <c r="G956">
        <v>210</v>
      </c>
      <c r="H956">
        <v>27.08</v>
      </c>
      <c r="I956">
        <v>155</v>
      </c>
      <c r="J956">
        <v>431.78</v>
      </c>
      <c r="K956">
        <v>0</v>
      </c>
      <c r="L956" t="s">
        <v>62</v>
      </c>
      <c r="M956">
        <v>0</v>
      </c>
      <c r="N956">
        <v>1</v>
      </c>
      <c r="O956">
        <v>16</v>
      </c>
      <c r="P956">
        <v>2</v>
      </c>
      <c r="Q956">
        <v>2</v>
      </c>
      <c r="R956">
        <v>1</v>
      </c>
      <c r="S956" t="s">
        <v>66</v>
      </c>
      <c r="T956">
        <v>0</v>
      </c>
      <c r="U956">
        <v>0</v>
      </c>
      <c r="V956">
        <v>0</v>
      </c>
      <c r="W956">
        <v>0</v>
      </c>
      <c r="X956" t="s">
        <v>58</v>
      </c>
    </row>
    <row r="957" customHeight="1" spans="1:24">
      <c r="A957" t="s">
        <v>1020</v>
      </c>
      <c r="B957">
        <v>46</v>
      </c>
      <c r="C957">
        <v>57</v>
      </c>
      <c r="D957" t="s">
        <v>72</v>
      </c>
      <c r="E957" t="s">
        <v>61</v>
      </c>
      <c r="F957" t="s">
        <v>55</v>
      </c>
      <c r="G957">
        <v>246</v>
      </c>
      <c r="H957">
        <v>10.36</v>
      </c>
      <c r="I957">
        <v>40</v>
      </c>
      <c r="J957">
        <v>885.54</v>
      </c>
      <c r="K957">
        <v>1</v>
      </c>
      <c r="L957" t="s">
        <v>56</v>
      </c>
      <c r="M957">
        <v>0</v>
      </c>
      <c r="N957">
        <v>0</v>
      </c>
      <c r="O957">
        <v>23.7</v>
      </c>
      <c r="P957">
        <v>2</v>
      </c>
      <c r="Q957">
        <v>1</v>
      </c>
      <c r="R957">
        <v>0</v>
      </c>
      <c r="S957" t="s">
        <v>63</v>
      </c>
      <c r="T957">
        <v>0</v>
      </c>
      <c r="U957">
        <v>1</v>
      </c>
      <c r="V957">
        <v>0</v>
      </c>
      <c r="W957">
        <v>1</v>
      </c>
      <c r="X957" t="s">
        <v>55</v>
      </c>
    </row>
    <row r="958" customHeight="1" spans="1:24">
      <c r="A958" t="s">
        <v>1021</v>
      </c>
      <c r="B958">
        <v>25</v>
      </c>
      <c r="C958">
        <v>11</v>
      </c>
      <c r="D958" t="s">
        <v>72</v>
      </c>
      <c r="E958" t="s">
        <v>69</v>
      </c>
      <c r="F958" t="s">
        <v>58</v>
      </c>
      <c r="G958">
        <v>508</v>
      </c>
      <c r="H958">
        <v>18.18</v>
      </c>
      <c r="I958">
        <v>174</v>
      </c>
      <c r="J958">
        <v>1328.25</v>
      </c>
      <c r="K958">
        <v>1</v>
      </c>
      <c r="L958" t="s">
        <v>56</v>
      </c>
      <c r="M958">
        <v>0</v>
      </c>
      <c r="N958">
        <v>0</v>
      </c>
      <c r="O958">
        <v>32.8</v>
      </c>
      <c r="P958">
        <v>0</v>
      </c>
      <c r="Q958">
        <v>2</v>
      </c>
      <c r="R958">
        <v>2</v>
      </c>
      <c r="S958" t="s">
        <v>57</v>
      </c>
      <c r="T958">
        <v>0</v>
      </c>
      <c r="U958">
        <v>1</v>
      </c>
      <c r="V958">
        <v>0</v>
      </c>
      <c r="W958">
        <v>0</v>
      </c>
      <c r="X958" t="s">
        <v>58</v>
      </c>
    </row>
    <row r="959" customHeight="1" spans="1:24">
      <c r="A959" t="s">
        <v>1022</v>
      </c>
      <c r="B959">
        <v>43</v>
      </c>
      <c r="C959">
        <v>28</v>
      </c>
      <c r="D959" t="s">
        <v>72</v>
      </c>
      <c r="E959" t="s">
        <v>65</v>
      </c>
      <c r="F959" t="s">
        <v>55</v>
      </c>
      <c r="G959">
        <v>563</v>
      </c>
      <c r="H959">
        <v>17.41</v>
      </c>
      <c r="I959">
        <v>87</v>
      </c>
      <c r="J959">
        <v>1103.19</v>
      </c>
      <c r="K959">
        <v>0</v>
      </c>
      <c r="L959" t="s">
        <v>62</v>
      </c>
      <c r="M959">
        <v>0</v>
      </c>
      <c r="N959">
        <v>1</v>
      </c>
      <c r="O959">
        <v>32.2</v>
      </c>
      <c r="P959">
        <v>1</v>
      </c>
      <c r="Q959">
        <v>0</v>
      </c>
      <c r="R959">
        <v>1</v>
      </c>
      <c r="S959" t="s">
        <v>63</v>
      </c>
      <c r="T959">
        <v>0</v>
      </c>
      <c r="U959">
        <v>0</v>
      </c>
      <c r="V959">
        <v>1</v>
      </c>
      <c r="W959">
        <v>1</v>
      </c>
      <c r="X959" t="s">
        <v>55</v>
      </c>
    </row>
    <row r="960" customHeight="1" spans="1:24">
      <c r="A960" t="s">
        <v>1023</v>
      </c>
      <c r="B960">
        <v>50</v>
      </c>
      <c r="C960">
        <v>14</v>
      </c>
      <c r="D960" t="s">
        <v>72</v>
      </c>
      <c r="E960" t="s">
        <v>65</v>
      </c>
      <c r="F960" t="s">
        <v>58</v>
      </c>
      <c r="G960">
        <v>256</v>
      </c>
      <c r="H960">
        <v>33.47</v>
      </c>
      <c r="I960">
        <v>201</v>
      </c>
      <c r="J960">
        <v>1259.72</v>
      </c>
      <c r="K960">
        <v>1</v>
      </c>
      <c r="L960" t="s">
        <v>56</v>
      </c>
      <c r="M960">
        <v>0</v>
      </c>
      <c r="N960">
        <v>0</v>
      </c>
      <c r="O960">
        <v>18.4</v>
      </c>
      <c r="P960">
        <v>0</v>
      </c>
      <c r="Q960">
        <v>4</v>
      </c>
      <c r="R960">
        <v>0</v>
      </c>
      <c r="S960" t="s">
        <v>57</v>
      </c>
      <c r="T960">
        <v>0</v>
      </c>
      <c r="U960">
        <v>1</v>
      </c>
      <c r="V960">
        <v>0</v>
      </c>
      <c r="W960">
        <v>0</v>
      </c>
      <c r="X960" t="s">
        <v>58</v>
      </c>
    </row>
    <row r="961" customHeight="1" spans="1:24">
      <c r="A961" t="s">
        <v>1024</v>
      </c>
      <c r="B961">
        <v>75</v>
      </c>
      <c r="C961">
        <v>12</v>
      </c>
      <c r="D961" t="s">
        <v>60</v>
      </c>
      <c r="E961" t="s">
        <v>54</v>
      </c>
      <c r="F961" t="s">
        <v>58</v>
      </c>
      <c r="G961">
        <v>404</v>
      </c>
      <c r="H961">
        <v>3.19</v>
      </c>
      <c r="I961">
        <v>93</v>
      </c>
      <c r="J961">
        <v>681.44</v>
      </c>
      <c r="K961">
        <v>0</v>
      </c>
      <c r="L961" t="s">
        <v>62</v>
      </c>
      <c r="M961">
        <v>2</v>
      </c>
      <c r="N961">
        <v>5</v>
      </c>
      <c r="O961">
        <v>38.6</v>
      </c>
      <c r="P961">
        <v>1</v>
      </c>
      <c r="Q961">
        <v>0</v>
      </c>
      <c r="R961">
        <v>0</v>
      </c>
      <c r="S961" t="s">
        <v>57</v>
      </c>
      <c r="T961">
        <v>1</v>
      </c>
      <c r="U961">
        <v>0</v>
      </c>
      <c r="V961">
        <v>1</v>
      </c>
      <c r="W961">
        <v>0</v>
      </c>
      <c r="X961" t="s">
        <v>58</v>
      </c>
    </row>
    <row r="962" customHeight="1" spans="1:24">
      <c r="A962" t="s">
        <v>1025</v>
      </c>
      <c r="B962">
        <v>33</v>
      </c>
      <c r="C962">
        <v>27</v>
      </c>
      <c r="D962" t="s">
        <v>53</v>
      </c>
      <c r="E962" t="s">
        <v>76</v>
      </c>
      <c r="F962" t="s">
        <v>55</v>
      </c>
      <c r="G962">
        <v>193</v>
      </c>
      <c r="H962">
        <v>8.89</v>
      </c>
      <c r="I962">
        <v>164</v>
      </c>
      <c r="J962">
        <v>523.63</v>
      </c>
      <c r="K962">
        <v>3</v>
      </c>
      <c r="L962" t="s">
        <v>56</v>
      </c>
      <c r="M962">
        <v>1</v>
      </c>
      <c r="N962">
        <v>1</v>
      </c>
      <c r="O962">
        <v>24.3</v>
      </c>
      <c r="P962">
        <v>1</v>
      </c>
      <c r="Q962">
        <v>0</v>
      </c>
      <c r="R962">
        <v>1</v>
      </c>
      <c r="S962" t="s">
        <v>63</v>
      </c>
      <c r="T962">
        <v>1</v>
      </c>
      <c r="U962">
        <v>1</v>
      </c>
      <c r="V962">
        <v>0</v>
      </c>
      <c r="W962">
        <v>1</v>
      </c>
      <c r="X962" t="s">
        <v>55</v>
      </c>
    </row>
    <row r="963" customHeight="1" spans="1:24">
      <c r="A963" t="s">
        <v>1026</v>
      </c>
      <c r="B963">
        <v>22</v>
      </c>
      <c r="C963">
        <v>67</v>
      </c>
      <c r="D963" t="s">
        <v>72</v>
      </c>
      <c r="E963" t="s">
        <v>76</v>
      </c>
      <c r="F963" t="s">
        <v>55</v>
      </c>
      <c r="G963">
        <v>373</v>
      </c>
      <c r="H963">
        <v>46.04</v>
      </c>
      <c r="I963">
        <v>133</v>
      </c>
      <c r="J963">
        <v>1185.44</v>
      </c>
      <c r="K963">
        <v>0</v>
      </c>
      <c r="L963" t="s">
        <v>62</v>
      </c>
      <c r="M963">
        <v>0</v>
      </c>
      <c r="N963">
        <v>0</v>
      </c>
      <c r="O963">
        <v>23.7</v>
      </c>
      <c r="P963">
        <v>0</v>
      </c>
      <c r="Q963">
        <v>0</v>
      </c>
      <c r="R963">
        <v>1</v>
      </c>
      <c r="S963" t="s">
        <v>63</v>
      </c>
      <c r="T963">
        <v>0</v>
      </c>
      <c r="U963">
        <v>0</v>
      </c>
      <c r="V963">
        <v>0</v>
      </c>
      <c r="W963">
        <v>1</v>
      </c>
      <c r="X963" t="s">
        <v>55</v>
      </c>
    </row>
    <row r="964" customHeight="1" spans="1:24">
      <c r="A964" t="s">
        <v>1027</v>
      </c>
      <c r="B964">
        <v>32</v>
      </c>
      <c r="C964">
        <v>68</v>
      </c>
      <c r="D964" t="s">
        <v>60</v>
      </c>
      <c r="E964" t="s">
        <v>76</v>
      </c>
      <c r="F964" t="s">
        <v>58</v>
      </c>
      <c r="G964">
        <v>526</v>
      </c>
      <c r="H964">
        <v>15.27</v>
      </c>
      <c r="I964">
        <v>172</v>
      </c>
      <c r="J964">
        <v>877</v>
      </c>
      <c r="K964">
        <v>0</v>
      </c>
      <c r="L964" t="s">
        <v>62</v>
      </c>
      <c r="M964">
        <v>1</v>
      </c>
      <c r="N964">
        <v>1</v>
      </c>
      <c r="O964">
        <v>27.6</v>
      </c>
      <c r="P964">
        <v>0</v>
      </c>
      <c r="Q964">
        <v>1</v>
      </c>
      <c r="R964">
        <v>0</v>
      </c>
      <c r="S964" t="s">
        <v>63</v>
      </c>
      <c r="T964">
        <v>1</v>
      </c>
      <c r="U964">
        <v>0</v>
      </c>
      <c r="V964">
        <v>0</v>
      </c>
      <c r="W964">
        <v>0</v>
      </c>
      <c r="X964" t="s">
        <v>58</v>
      </c>
    </row>
    <row r="965" customHeight="1" spans="1:24">
      <c r="A965" t="s">
        <v>1028</v>
      </c>
      <c r="B965">
        <v>32</v>
      </c>
      <c r="C965">
        <v>28</v>
      </c>
      <c r="D965" t="s">
        <v>60</v>
      </c>
      <c r="E965" t="s">
        <v>76</v>
      </c>
      <c r="F965" t="s">
        <v>58</v>
      </c>
      <c r="G965">
        <v>335</v>
      </c>
      <c r="H965">
        <v>0.5</v>
      </c>
      <c r="I965">
        <v>128</v>
      </c>
      <c r="J965">
        <v>696.67</v>
      </c>
      <c r="K965">
        <v>0</v>
      </c>
      <c r="L965" t="s">
        <v>62</v>
      </c>
      <c r="M965">
        <v>0</v>
      </c>
      <c r="N965">
        <v>0</v>
      </c>
      <c r="O965">
        <v>21.9</v>
      </c>
      <c r="P965">
        <v>1</v>
      </c>
      <c r="Q965">
        <v>0</v>
      </c>
      <c r="R965">
        <v>0</v>
      </c>
      <c r="S965" t="s">
        <v>63</v>
      </c>
      <c r="T965">
        <v>0</v>
      </c>
      <c r="U965">
        <v>0</v>
      </c>
      <c r="V965">
        <v>1</v>
      </c>
      <c r="W965">
        <v>0</v>
      </c>
      <c r="X965" t="s">
        <v>58</v>
      </c>
    </row>
    <row r="966" customHeight="1" spans="1:24">
      <c r="A966" t="s">
        <v>1029</v>
      </c>
      <c r="B966">
        <v>72</v>
      </c>
      <c r="C966">
        <v>37</v>
      </c>
      <c r="D966" t="s">
        <v>60</v>
      </c>
      <c r="E966" t="s">
        <v>61</v>
      </c>
      <c r="F966" t="s">
        <v>58</v>
      </c>
      <c r="G966">
        <v>363</v>
      </c>
      <c r="H966">
        <v>12.17</v>
      </c>
      <c r="I966">
        <v>4</v>
      </c>
      <c r="J966">
        <v>774.48</v>
      </c>
      <c r="K966">
        <v>0</v>
      </c>
      <c r="L966" t="s">
        <v>62</v>
      </c>
      <c r="M966">
        <v>0</v>
      </c>
      <c r="N966">
        <v>1</v>
      </c>
      <c r="O966">
        <v>12.5</v>
      </c>
      <c r="P966">
        <v>0</v>
      </c>
      <c r="Q966">
        <v>0</v>
      </c>
      <c r="R966">
        <v>2</v>
      </c>
      <c r="S966" t="s">
        <v>63</v>
      </c>
      <c r="T966">
        <v>0</v>
      </c>
      <c r="U966">
        <v>0</v>
      </c>
      <c r="V966">
        <v>0</v>
      </c>
      <c r="W966">
        <v>0</v>
      </c>
      <c r="X966" t="s">
        <v>58</v>
      </c>
    </row>
    <row r="967" customHeight="1" spans="1:24">
      <c r="A967" t="s">
        <v>1030</v>
      </c>
      <c r="B967">
        <v>26</v>
      </c>
      <c r="C967">
        <v>71</v>
      </c>
      <c r="D967" t="s">
        <v>60</v>
      </c>
      <c r="E967" t="s">
        <v>69</v>
      </c>
      <c r="F967" t="s">
        <v>55</v>
      </c>
      <c r="G967">
        <v>231</v>
      </c>
      <c r="H967">
        <v>0.5</v>
      </c>
      <c r="I967">
        <v>191</v>
      </c>
      <c r="J967">
        <v>744.45</v>
      </c>
      <c r="K967">
        <v>0</v>
      </c>
      <c r="L967" t="s">
        <v>62</v>
      </c>
      <c r="M967">
        <v>0</v>
      </c>
      <c r="N967">
        <v>0</v>
      </c>
      <c r="O967">
        <v>22.3</v>
      </c>
      <c r="P967">
        <v>2</v>
      </c>
      <c r="Q967">
        <v>3</v>
      </c>
      <c r="R967">
        <v>1</v>
      </c>
      <c r="S967" t="s">
        <v>63</v>
      </c>
      <c r="T967">
        <v>0</v>
      </c>
      <c r="U967">
        <v>0</v>
      </c>
      <c r="V967">
        <v>1</v>
      </c>
      <c r="W967">
        <v>1</v>
      </c>
      <c r="X967" t="s">
        <v>58</v>
      </c>
    </row>
    <row r="968" customHeight="1" spans="1:24">
      <c r="A968" t="s">
        <v>1031</v>
      </c>
      <c r="B968">
        <v>75</v>
      </c>
      <c r="C968">
        <v>17</v>
      </c>
      <c r="D968" t="s">
        <v>53</v>
      </c>
      <c r="E968" t="s">
        <v>69</v>
      </c>
      <c r="F968" t="s">
        <v>58</v>
      </c>
      <c r="G968">
        <v>303</v>
      </c>
      <c r="H968">
        <v>20.41</v>
      </c>
      <c r="I968">
        <v>114</v>
      </c>
      <c r="J968">
        <v>447.18</v>
      </c>
      <c r="K968">
        <v>1</v>
      </c>
      <c r="L968" t="s">
        <v>56</v>
      </c>
      <c r="M968">
        <v>0</v>
      </c>
      <c r="N968">
        <v>0</v>
      </c>
      <c r="O968">
        <v>34.1</v>
      </c>
      <c r="P968">
        <v>0</v>
      </c>
      <c r="Q968">
        <v>1</v>
      </c>
      <c r="R968">
        <v>1</v>
      </c>
      <c r="S968" t="s">
        <v>57</v>
      </c>
      <c r="T968">
        <v>0</v>
      </c>
      <c r="U968">
        <v>1</v>
      </c>
      <c r="V968">
        <v>0</v>
      </c>
      <c r="W968">
        <v>0</v>
      </c>
      <c r="X968" t="s">
        <v>58</v>
      </c>
    </row>
    <row r="969" customHeight="1" spans="1:24">
      <c r="A969" t="s">
        <v>1032</v>
      </c>
      <c r="B969">
        <v>24</v>
      </c>
      <c r="C969">
        <v>69</v>
      </c>
      <c r="D969" t="s">
        <v>60</v>
      </c>
      <c r="E969" t="s">
        <v>65</v>
      </c>
      <c r="F969" t="s">
        <v>58</v>
      </c>
      <c r="G969">
        <v>664</v>
      </c>
      <c r="H969">
        <v>26.1</v>
      </c>
      <c r="I969">
        <v>175</v>
      </c>
      <c r="J969">
        <v>892.83</v>
      </c>
      <c r="K969">
        <v>0</v>
      </c>
      <c r="L969" t="s">
        <v>62</v>
      </c>
      <c r="M969">
        <v>1</v>
      </c>
      <c r="N969">
        <v>1</v>
      </c>
      <c r="O969">
        <v>17.9</v>
      </c>
      <c r="P969">
        <v>2</v>
      </c>
      <c r="Q969">
        <v>0</v>
      </c>
      <c r="R969">
        <v>0</v>
      </c>
      <c r="S969" t="s">
        <v>63</v>
      </c>
      <c r="T969">
        <v>1</v>
      </c>
      <c r="U969">
        <v>0</v>
      </c>
      <c r="V969">
        <v>0</v>
      </c>
      <c r="W969">
        <v>0</v>
      </c>
      <c r="X969" t="s">
        <v>58</v>
      </c>
    </row>
    <row r="970" customHeight="1" spans="1:24">
      <c r="A970" t="s">
        <v>1033</v>
      </c>
      <c r="B970">
        <v>65</v>
      </c>
      <c r="C970">
        <v>8</v>
      </c>
      <c r="D970" t="s">
        <v>53</v>
      </c>
      <c r="E970" t="s">
        <v>76</v>
      </c>
      <c r="F970" t="s">
        <v>58</v>
      </c>
      <c r="G970">
        <v>411</v>
      </c>
      <c r="H970">
        <v>8.88</v>
      </c>
      <c r="I970">
        <v>168</v>
      </c>
      <c r="J970">
        <v>308.43</v>
      </c>
      <c r="K970">
        <v>0</v>
      </c>
      <c r="L970" t="s">
        <v>62</v>
      </c>
      <c r="M970">
        <v>0</v>
      </c>
      <c r="N970">
        <v>1</v>
      </c>
      <c r="O970">
        <v>29.3</v>
      </c>
      <c r="P970">
        <v>0</v>
      </c>
      <c r="Q970">
        <v>1</v>
      </c>
      <c r="R970">
        <v>0</v>
      </c>
      <c r="S970" t="s">
        <v>57</v>
      </c>
      <c r="T970">
        <v>0</v>
      </c>
      <c r="U970">
        <v>0</v>
      </c>
      <c r="V970">
        <v>0</v>
      </c>
      <c r="W970">
        <v>0</v>
      </c>
      <c r="X970" t="s">
        <v>58</v>
      </c>
    </row>
    <row r="971" customHeight="1" spans="1:24">
      <c r="A971" t="s">
        <v>1034</v>
      </c>
      <c r="B971">
        <v>42</v>
      </c>
      <c r="C971">
        <v>17</v>
      </c>
      <c r="D971" t="s">
        <v>60</v>
      </c>
      <c r="E971" t="s">
        <v>65</v>
      </c>
      <c r="F971" t="s">
        <v>58</v>
      </c>
      <c r="G971">
        <v>250</v>
      </c>
      <c r="H971">
        <v>13.29</v>
      </c>
      <c r="I971">
        <v>66</v>
      </c>
      <c r="J971">
        <v>824.64</v>
      </c>
      <c r="K971">
        <v>0</v>
      </c>
      <c r="L971" t="s">
        <v>62</v>
      </c>
      <c r="M971">
        <v>1</v>
      </c>
      <c r="N971">
        <v>1</v>
      </c>
      <c r="O971">
        <v>11</v>
      </c>
      <c r="P971">
        <v>0</v>
      </c>
      <c r="Q971">
        <v>1</v>
      </c>
      <c r="R971">
        <v>0</v>
      </c>
      <c r="S971" t="s">
        <v>57</v>
      </c>
      <c r="T971">
        <v>1</v>
      </c>
      <c r="U971">
        <v>0</v>
      </c>
      <c r="V971">
        <v>0</v>
      </c>
      <c r="W971">
        <v>0</v>
      </c>
      <c r="X971" t="s">
        <v>58</v>
      </c>
    </row>
    <row r="972" customHeight="1" spans="1:24">
      <c r="A972" t="s">
        <v>1035</v>
      </c>
      <c r="B972">
        <v>21</v>
      </c>
      <c r="C972">
        <v>25</v>
      </c>
      <c r="D972" t="s">
        <v>72</v>
      </c>
      <c r="E972" t="s">
        <v>69</v>
      </c>
      <c r="F972" t="s">
        <v>55</v>
      </c>
      <c r="G972">
        <v>353</v>
      </c>
      <c r="H972">
        <v>27.24</v>
      </c>
      <c r="I972">
        <v>56</v>
      </c>
      <c r="J972">
        <v>1289.08</v>
      </c>
      <c r="K972">
        <v>2</v>
      </c>
      <c r="L972" t="s">
        <v>56</v>
      </c>
      <c r="M972">
        <v>1</v>
      </c>
      <c r="N972">
        <v>1</v>
      </c>
      <c r="O972">
        <v>33.4</v>
      </c>
      <c r="P972">
        <v>1</v>
      </c>
      <c r="Q972">
        <v>0</v>
      </c>
      <c r="R972">
        <v>0</v>
      </c>
      <c r="S972" t="s">
        <v>63</v>
      </c>
      <c r="T972">
        <v>1</v>
      </c>
      <c r="U972">
        <v>1</v>
      </c>
      <c r="V972">
        <v>0</v>
      </c>
      <c r="W972">
        <v>1</v>
      </c>
      <c r="X972" t="s">
        <v>55</v>
      </c>
    </row>
    <row r="973" customHeight="1" spans="1:24">
      <c r="A973" t="s">
        <v>1036</v>
      </c>
      <c r="B973">
        <v>53</v>
      </c>
      <c r="C973">
        <v>3</v>
      </c>
      <c r="D973" t="s">
        <v>60</v>
      </c>
      <c r="E973" t="s">
        <v>117</v>
      </c>
      <c r="F973" t="s">
        <v>55</v>
      </c>
      <c r="G973">
        <v>160</v>
      </c>
      <c r="H973">
        <v>0.5</v>
      </c>
      <c r="I973">
        <v>166</v>
      </c>
      <c r="J973">
        <v>733.52</v>
      </c>
      <c r="K973">
        <v>0</v>
      </c>
      <c r="L973" t="s">
        <v>62</v>
      </c>
      <c r="M973">
        <v>4</v>
      </c>
      <c r="N973">
        <v>4</v>
      </c>
      <c r="O973">
        <v>27.8</v>
      </c>
      <c r="P973">
        <v>1</v>
      </c>
      <c r="Q973">
        <v>0</v>
      </c>
      <c r="R973">
        <v>0</v>
      </c>
      <c r="S973" t="s">
        <v>66</v>
      </c>
      <c r="T973">
        <v>1</v>
      </c>
      <c r="U973">
        <v>0</v>
      </c>
      <c r="V973">
        <v>1</v>
      </c>
      <c r="W973">
        <v>1</v>
      </c>
      <c r="X973" t="s">
        <v>55</v>
      </c>
    </row>
    <row r="974" customHeight="1" spans="1:24">
      <c r="A974" t="s">
        <v>1037</v>
      </c>
      <c r="B974">
        <v>60</v>
      </c>
      <c r="C974">
        <v>59</v>
      </c>
      <c r="D974" t="s">
        <v>60</v>
      </c>
      <c r="E974" t="s">
        <v>61</v>
      </c>
      <c r="F974" t="s">
        <v>55</v>
      </c>
      <c r="G974">
        <v>248</v>
      </c>
      <c r="H974">
        <v>4.78</v>
      </c>
      <c r="I974">
        <v>99</v>
      </c>
      <c r="J974">
        <v>663.31</v>
      </c>
      <c r="K974">
        <v>1</v>
      </c>
      <c r="L974" t="s">
        <v>56</v>
      </c>
      <c r="M974">
        <v>1</v>
      </c>
      <c r="N974">
        <v>1</v>
      </c>
      <c r="O974">
        <v>9.6</v>
      </c>
      <c r="P974">
        <v>0</v>
      </c>
      <c r="Q974">
        <v>0</v>
      </c>
      <c r="R974">
        <v>0</v>
      </c>
      <c r="S974" t="s">
        <v>63</v>
      </c>
      <c r="T974">
        <v>1</v>
      </c>
      <c r="U974">
        <v>1</v>
      </c>
      <c r="V974">
        <v>1</v>
      </c>
      <c r="W974">
        <v>1</v>
      </c>
      <c r="X974" t="s">
        <v>55</v>
      </c>
    </row>
    <row r="975" customHeight="1" spans="1:24">
      <c r="A975" t="s">
        <v>1038</v>
      </c>
      <c r="B975">
        <v>66</v>
      </c>
      <c r="C975">
        <v>62</v>
      </c>
      <c r="D975" t="s">
        <v>53</v>
      </c>
      <c r="E975" t="s">
        <v>61</v>
      </c>
      <c r="F975" t="s">
        <v>58</v>
      </c>
      <c r="G975">
        <v>604</v>
      </c>
      <c r="H975">
        <v>15.72</v>
      </c>
      <c r="I975">
        <v>186</v>
      </c>
      <c r="J975">
        <v>458.06</v>
      </c>
      <c r="K975">
        <v>1</v>
      </c>
      <c r="L975" t="s">
        <v>56</v>
      </c>
      <c r="M975">
        <v>0</v>
      </c>
      <c r="N975">
        <v>1</v>
      </c>
      <c r="O975">
        <v>21.3</v>
      </c>
      <c r="P975">
        <v>0</v>
      </c>
      <c r="Q975">
        <v>0</v>
      </c>
      <c r="R975">
        <v>2</v>
      </c>
      <c r="S975" t="s">
        <v>63</v>
      </c>
      <c r="T975">
        <v>0</v>
      </c>
      <c r="U975">
        <v>1</v>
      </c>
      <c r="V975">
        <v>0</v>
      </c>
      <c r="W975">
        <v>0</v>
      </c>
      <c r="X975" t="s">
        <v>58</v>
      </c>
    </row>
    <row r="976" customHeight="1" spans="1:24">
      <c r="A976" t="s">
        <v>1039</v>
      </c>
      <c r="B976">
        <v>28</v>
      </c>
      <c r="C976">
        <v>28</v>
      </c>
      <c r="D976" t="s">
        <v>72</v>
      </c>
      <c r="E976" t="s">
        <v>117</v>
      </c>
      <c r="F976" t="s">
        <v>55</v>
      </c>
      <c r="G976">
        <v>379</v>
      </c>
      <c r="H976">
        <v>10.48</v>
      </c>
      <c r="I976">
        <v>108</v>
      </c>
      <c r="J976">
        <v>1293.78</v>
      </c>
      <c r="K976">
        <v>0</v>
      </c>
      <c r="L976" t="s">
        <v>62</v>
      </c>
      <c r="M976">
        <v>1</v>
      </c>
      <c r="N976">
        <v>1</v>
      </c>
      <c r="O976">
        <v>35.2</v>
      </c>
      <c r="P976">
        <v>0</v>
      </c>
      <c r="Q976">
        <v>0</v>
      </c>
      <c r="R976">
        <v>1</v>
      </c>
      <c r="S976" t="s">
        <v>63</v>
      </c>
      <c r="T976">
        <v>1</v>
      </c>
      <c r="U976">
        <v>0</v>
      </c>
      <c r="V976">
        <v>0</v>
      </c>
      <c r="W976">
        <v>1</v>
      </c>
      <c r="X976" t="s">
        <v>58</v>
      </c>
    </row>
    <row r="977" customHeight="1" spans="1:24">
      <c r="A977" t="s">
        <v>1040</v>
      </c>
      <c r="B977">
        <v>53</v>
      </c>
      <c r="C977">
        <v>61</v>
      </c>
      <c r="D977" t="s">
        <v>60</v>
      </c>
      <c r="E977" t="s">
        <v>69</v>
      </c>
      <c r="F977" t="s">
        <v>58</v>
      </c>
      <c r="G977">
        <v>684</v>
      </c>
      <c r="H977">
        <v>15.06</v>
      </c>
      <c r="I977">
        <v>192</v>
      </c>
      <c r="J977">
        <v>786.71</v>
      </c>
      <c r="K977">
        <v>0</v>
      </c>
      <c r="L977" t="s">
        <v>62</v>
      </c>
      <c r="M977">
        <v>0</v>
      </c>
      <c r="N977">
        <v>0</v>
      </c>
      <c r="O977">
        <v>8.9</v>
      </c>
      <c r="P977">
        <v>1</v>
      </c>
      <c r="Q977">
        <v>0</v>
      </c>
      <c r="R977">
        <v>0</v>
      </c>
      <c r="S977" t="s">
        <v>63</v>
      </c>
      <c r="T977">
        <v>0</v>
      </c>
      <c r="U977">
        <v>0</v>
      </c>
      <c r="V977">
        <v>0</v>
      </c>
      <c r="W977">
        <v>0</v>
      </c>
      <c r="X977" t="s">
        <v>58</v>
      </c>
    </row>
    <row r="978" customHeight="1" spans="1:24">
      <c r="A978" t="s">
        <v>1041</v>
      </c>
      <c r="B978">
        <v>51</v>
      </c>
      <c r="C978">
        <v>56</v>
      </c>
      <c r="D978" t="s">
        <v>60</v>
      </c>
      <c r="E978" t="s">
        <v>65</v>
      </c>
      <c r="F978" t="s">
        <v>58</v>
      </c>
      <c r="G978">
        <v>386</v>
      </c>
      <c r="H978">
        <v>5.36</v>
      </c>
      <c r="I978">
        <v>150</v>
      </c>
      <c r="J978">
        <v>885.82</v>
      </c>
      <c r="K978">
        <v>2</v>
      </c>
      <c r="L978" t="s">
        <v>56</v>
      </c>
      <c r="M978">
        <v>1</v>
      </c>
      <c r="N978">
        <v>3</v>
      </c>
      <c r="O978">
        <v>11.1</v>
      </c>
      <c r="P978">
        <v>1</v>
      </c>
      <c r="Q978">
        <v>1</v>
      </c>
      <c r="R978">
        <v>1</v>
      </c>
      <c r="S978" t="s">
        <v>63</v>
      </c>
      <c r="T978">
        <v>1</v>
      </c>
      <c r="U978">
        <v>1</v>
      </c>
      <c r="V978">
        <v>0</v>
      </c>
      <c r="W978">
        <v>0</v>
      </c>
      <c r="X978" t="s">
        <v>58</v>
      </c>
    </row>
    <row r="979" customHeight="1" spans="1:24">
      <c r="A979" t="s">
        <v>1042</v>
      </c>
      <c r="B979">
        <v>43</v>
      </c>
      <c r="C979">
        <v>58</v>
      </c>
      <c r="D979" t="s">
        <v>53</v>
      </c>
      <c r="E979" t="s">
        <v>61</v>
      </c>
      <c r="F979" t="s">
        <v>58</v>
      </c>
      <c r="G979">
        <v>395</v>
      </c>
      <c r="H979">
        <v>20.14</v>
      </c>
      <c r="I979">
        <v>140</v>
      </c>
      <c r="J979">
        <v>450.56</v>
      </c>
      <c r="K979">
        <v>0</v>
      </c>
      <c r="L979" t="s">
        <v>62</v>
      </c>
      <c r="M979">
        <v>0</v>
      </c>
      <c r="N979">
        <v>1</v>
      </c>
      <c r="O979">
        <v>23.2</v>
      </c>
      <c r="P979">
        <v>3</v>
      </c>
      <c r="Q979">
        <v>1</v>
      </c>
      <c r="R979">
        <v>1</v>
      </c>
      <c r="S979" t="s">
        <v>63</v>
      </c>
      <c r="T979">
        <v>0</v>
      </c>
      <c r="U979">
        <v>0</v>
      </c>
      <c r="V979">
        <v>0</v>
      </c>
      <c r="W979">
        <v>0</v>
      </c>
      <c r="X979" t="s">
        <v>58</v>
      </c>
    </row>
    <row r="980" customHeight="1" spans="1:24">
      <c r="A980" t="s">
        <v>1043</v>
      </c>
      <c r="B980">
        <v>69</v>
      </c>
      <c r="C980">
        <v>58</v>
      </c>
      <c r="D980" t="s">
        <v>53</v>
      </c>
      <c r="E980" t="s">
        <v>76</v>
      </c>
      <c r="F980" t="s">
        <v>58</v>
      </c>
      <c r="G980">
        <v>496</v>
      </c>
      <c r="H980">
        <v>16.51</v>
      </c>
      <c r="I980">
        <v>94</v>
      </c>
      <c r="J980">
        <v>441.93</v>
      </c>
      <c r="K980">
        <v>1</v>
      </c>
      <c r="L980" t="s">
        <v>56</v>
      </c>
      <c r="M980">
        <v>0</v>
      </c>
      <c r="N980">
        <v>2</v>
      </c>
      <c r="O980">
        <v>49.6</v>
      </c>
      <c r="P980">
        <v>1</v>
      </c>
      <c r="Q980">
        <v>0</v>
      </c>
      <c r="R980">
        <v>0</v>
      </c>
      <c r="S980" t="s">
        <v>63</v>
      </c>
      <c r="T980">
        <v>0</v>
      </c>
      <c r="U980">
        <v>1</v>
      </c>
      <c r="V980">
        <v>0</v>
      </c>
      <c r="W980">
        <v>0</v>
      </c>
      <c r="X980" t="s">
        <v>58</v>
      </c>
    </row>
    <row r="981" customHeight="1" spans="1:24">
      <c r="A981" t="s">
        <v>1044</v>
      </c>
      <c r="B981">
        <v>42</v>
      </c>
      <c r="C981">
        <v>42</v>
      </c>
      <c r="D981" t="s">
        <v>60</v>
      </c>
      <c r="E981" t="s">
        <v>76</v>
      </c>
      <c r="F981" t="s">
        <v>58</v>
      </c>
      <c r="G981">
        <v>20</v>
      </c>
      <c r="H981">
        <v>23.49</v>
      </c>
      <c r="I981">
        <v>136</v>
      </c>
      <c r="J981">
        <v>607.83</v>
      </c>
      <c r="K981">
        <v>0</v>
      </c>
      <c r="L981" t="s">
        <v>62</v>
      </c>
      <c r="M981">
        <v>2</v>
      </c>
      <c r="N981">
        <v>3</v>
      </c>
      <c r="O981">
        <v>15.9</v>
      </c>
      <c r="P981">
        <v>2</v>
      </c>
      <c r="Q981">
        <v>0</v>
      </c>
      <c r="R981">
        <v>0</v>
      </c>
      <c r="S981" t="s">
        <v>63</v>
      </c>
      <c r="T981">
        <v>1</v>
      </c>
      <c r="U981">
        <v>0</v>
      </c>
      <c r="V981">
        <v>0</v>
      </c>
      <c r="W981">
        <v>0</v>
      </c>
      <c r="X981" t="s">
        <v>58</v>
      </c>
    </row>
    <row r="982" customHeight="1" spans="1:24">
      <c r="A982" t="s">
        <v>1045</v>
      </c>
      <c r="B982">
        <v>40</v>
      </c>
      <c r="C982">
        <v>8</v>
      </c>
      <c r="D982" t="s">
        <v>72</v>
      </c>
      <c r="E982" t="s">
        <v>61</v>
      </c>
      <c r="F982" t="s">
        <v>55</v>
      </c>
      <c r="G982">
        <v>431</v>
      </c>
      <c r="H982">
        <v>20</v>
      </c>
      <c r="I982">
        <v>203</v>
      </c>
      <c r="J982">
        <v>1143.98</v>
      </c>
      <c r="K982">
        <v>1</v>
      </c>
      <c r="L982" t="s">
        <v>56</v>
      </c>
      <c r="M982">
        <v>1</v>
      </c>
      <c r="N982">
        <v>1</v>
      </c>
      <c r="O982">
        <v>29.9</v>
      </c>
      <c r="P982">
        <v>1</v>
      </c>
      <c r="Q982">
        <v>2</v>
      </c>
      <c r="R982">
        <v>1</v>
      </c>
      <c r="S982" t="s">
        <v>57</v>
      </c>
      <c r="T982">
        <v>1</v>
      </c>
      <c r="U982">
        <v>1</v>
      </c>
      <c r="V982">
        <v>0</v>
      </c>
      <c r="W982">
        <v>1</v>
      </c>
      <c r="X982" t="s">
        <v>55</v>
      </c>
    </row>
    <row r="983" customHeight="1" spans="1:24">
      <c r="A983" t="s">
        <v>1046</v>
      </c>
      <c r="B983">
        <v>48</v>
      </c>
      <c r="C983">
        <v>67</v>
      </c>
      <c r="D983" t="s">
        <v>60</v>
      </c>
      <c r="E983" t="s">
        <v>76</v>
      </c>
      <c r="F983" t="s">
        <v>58</v>
      </c>
      <c r="G983">
        <v>393</v>
      </c>
      <c r="H983">
        <v>20.07</v>
      </c>
      <c r="I983">
        <v>116</v>
      </c>
      <c r="J983">
        <v>649.61</v>
      </c>
      <c r="K983">
        <v>1</v>
      </c>
      <c r="L983" t="s">
        <v>56</v>
      </c>
      <c r="M983">
        <v>1</v>
      </c>
      <c r="N983">
        <v>2</v>
      </c>
      <c r="O983">
        <v>27.1</v>
      </c>
      <c r="P983">
        <v>1</v>
      </c>
      <c r="Q983">
        <v>1</v>
      </c>
      <c r="R983">
        <v>0</v>
      </c>
      <c r="S983" t="s">
        <v>63</v>
      </c>
      <c r="T983">
        <v>1</v>
      </c>
      <c r="U983">
        <v>1</v>
      </c>
      <c r="V983">
        <v>0</v>
      </c>
      <c r="W983">
        <v>0</v>
      </c>
      <c r="X983" t="s">
        <v>58</v>
      </c>
    </row>
    <row r="984" customHeight="1" spans="1:24">
      <c r="A984" t="s">
        <v>1047</v>
      </c>
      <c r="B984">
        <v>71</v>
      </c>
      <c r="C984">
        <v>44</v>
      </c>
      <c r="D984" t="s">
        <v>53</v>
      </c>
      <c r="E984" t="s">
        <v>69</v>
      </c>
      <c r="F984" t="s">
        <v>58</v>
      </c>
      <c r="G984">
        <v>623</v>
      </c>
      <c r="H984">
        <v>3.54</v>
      </c>
      <c r="I984">
        <v>157</v>
      </c>
      <c r="J984">
        <v>476.27</v>
      </c>
      <c r="K984">
        <v>0</v>
      </c>
      <c r="L984" t="s">
        <v>62</v>
      </c>
      <c r="M984">
        <v>0</v>
      </c>
      <c r="N984">
        <v>0</v>
      </c>
      <c r="O984">
        <v>23.7</v>
      </c>
      <c r="P984">
        <v>0</v>
      </c>
      <c r="Q984">
        <v>0</v>
      </c>
      <c r="R984">
        <v>0</v>
      </c>
      <c r="S984" t="s">
        <v>63</v>
      </c>
      <c r="T984">
        <v>0</v>
      </c>
      <c r="U984">
        <v>0</v>
      </c>
      <c r="V984">
        <v>1</v>
      </c>
      <c r="W984">
        <v>0</v>
      </c>
      <c r="X984" t="s">
        <v>58</v>
      </c>
    </row>
    <row r="985" customHeight="1" spans="1:24">
      <c r="A985" t="s">
        <v>1048</v>
      </c>
      <c r="B985">
        <v>68</v>
      </c>
      <c r="C985">
        <v>65</v>
      </c>
      <c r="D985" t="s">
        <v>72</v>
      </c>
      <c r="E985" t="s">
        <v>65</v>
      </c>
      <c r="F985" t="s">
        <v>58</v>
      </c>
      <c r="G985">
        <v>545</v>
      </c>
      <c r="H985">
        <v>22.93</v>
      </c>
      <c r="I985">
        <v>123</v>
      </c>
      <c r="J985">
        <v>1047.31</v>
      </c>
      <c r="K985">
        <v>0</v>
      </c>
      <c r="L985" t="s">
        <v>62</v>
      </c>
      <c r="M985">
        <v>0</v>
      </c>
      <c r="N985">
        <v>0</v>
      </c>
      <c r="O985">
        <v>25.9</v>
      </c>
      <c r="P985">
        <v>2</v>
      </c>
      <c r="Q985">
        <v>0</v>
      </c>
      <c r="R985">
        <v>0</v>
      </c>
      <c r="S985" t="s">
        <v>63</v>
      </c>
      <c r="T985">
        <v>0</v>
      </c>
      <c r="U985">
        <v>0</v>
      </c>
      <c r="V985">
        <v>0</v>
      </c>
      <c r="W985">
        <v>0</v>
      </c>
      <c r="X985" t="s">
        <v>58</v>
      </c>
    </row>
    <row r="986" customHeight="1" spans="1:24">
      <c r="A986" t="s">
        <v>1049</v>
      </c>
      <c r="B986">
        <v>59</v>
      </c>
      <c r="C986">
        <v>70</v>
      </c>
      <c r="D986" t="s">
        <v>60</v>
      </c>
      <c r="E986" t="s">
        <v>54</v>
      </c>
      <c r="F986" t="s">
        <v>55</v>
      </c>
      <c r="G986">
        <v>230</v>
      </c>
      <c r="H986">
        <v>14.69</v>
      </c>
      <c r="I986">
        <v>129</v>
      </c>
      <c r="J986">
        <v>610.95</v>
      </c>
      <c r="K986">
        <v>1</v>
      </c>
      <c r="L986" t="s">
        <v>56</v>
      </c>
      <c r="M986">
        <v>1</v>
      </c>
      <c r="N986">
        <v>1</v>
      </c>
      <c r="O986">
        <v>18.6</v>
      </c>
      <c r="P986">
        <v>2</v>
      </c>
      <c r="Q986">
        <v>0</v>
      </c>
      <c r="R986">
        <v>0</v>
      </c>
      <c r="S986" t="s">
        <v>63</v>
      </c>
      <c r="T986">
        <v>1</v>
      </c>
      <c r="U986">
        <v>1</v>
      </c>
      <c r="V986">
        <v>0</v>
      </c>
      <c r="W986">
        <v>1</v>
      </c>
      <c r="X986" t="s">
        <v>58</v>
      </c>
    </row>
    <row r="987" customHeight="1" spans="1:24">
      <c r="A987" t="s">
        <v>1050</v>
      </c>
      <c r="B987">
        <v>22</v>
      </c>
      <c r="C987">
        <v>14</v>
      </c>
      <c r="D987" t="s">
        <v>72</v>
      </c>
      <c r="E987" t="s">
        <v>54</v>
      </c>
      <c r="F987" t="s">
        <v>55</v>
      </c>
      <c r="G987">
        <v>586</v>
      </c>
      <c r="H987">
        <v>16.33</v>
      </c>
      <c r="I987">
        <v>241</v>
      </c>
      <c r="J987">
        <v>1300.96</v>
      </c>
      <c r="K987">
        <v>1</v>
      </c>
      <c r="L987" t="s">
        <v>56</v>
      </c>
      <c r="M987">
        <v>0</v>
      </c>
      <c r="N987">
        <v>0</v>
      </c>
      <c r="O987">
        <v>19.7</v>
      </c>
      <c r="P987">
        <v>2</v>
      </c>
      <c r="Q987">
        <v>0</v>
      </c>
      <c r="R987">
        <v>1</v>
      </c>
      <c r="S987" t="s">
        <v>57</v>
      </c>
      <c r="T987">
        <v>0</v>
      </c>
      <c r="U987">
        <v>1</v>
      </c>
      <c r="V987">
        <v>0</v>
      </c>
      <c r="W987">
        <v>1</v>
      </c>
      <c r="X987" t="s">
        <v>55</v>
      </c>
    </row>
    <row r="988" customHeight="1" spans="1:24">
      <c r="A988" t="s">
        <v>1051</v>
      </c>
      <c r="B988">
        <v>35</v>
      </c>
      <c r="C988">
        <v>29</v>
      </c>
      <c r="D988" t="s">
        <v>53</v>
      </c>
      <c r="E988" t="s">
        <v>76</v>
      </c>
      <c r="F988" t="s">
        <v>58</v>
      </c>
      <c r="G988">
        <v>361</v>
      </c>
      <c r="H988">
        <v>28.48</v>
      </c>
      <c r="I988">
        <v>204</v>
      </c>
      <c r="J988">
        <v>505.48</v>
      </c>
      <c r="K988">
        <v>1</v>
      </c>
      <c r="L988" t="s">
        <v>56</v>
      </c>
      <c r="M988">
        <v>0</v>
      </c>
      <c r="N988">
        <v>1</v>
      </c>
      <c r="O988">
        <v>4.1</v>
      </c>
      <c r="P988">
        <v>2</v>
      </c>
      <c r="Q988">
        <v>0</v>
      </c>
      <c r="R988">
        <v>0</v>
      </c>
      <c r="S988" t="s">
        <v>63</v>
      </c>
      <c r="T988">
        <v>0</v>
      </c>
      <c r="U988">
        <v>1</v>
      </c>
      <c r="V988">
        <v>0</v>
      </c>
      <c r="W988">
        <v>0</v>
      </c>
      <c r="X988" t="s">
        <v>58</v>
      </c>
    </row>
    <row r="989" customHeight="1" spans="1:24">
      <c r="A989" t="s">
        <v>1052</v>
      </c>
      <c r="B989">
        <v>18</v>
      </c>
      <c r="C989">
        <v>14</v>
      </c>
      <c r="D989" t="s">
        <v>60</v>
      </c>
      <c r="E989" t="s">
        <v>69</v>
      </c>
      <c r="F989" t="s">
        <v>55</v>
      </c>
      <c r="G989">
        <v>264</v>
      </c>
      <c r="H989">
        <v>10.81</v>
      </c>
      <c r="I989">
        <v>126</v>
      </c>
      <c r="J989">
        <v>744.68</v>
      </c>
      <c r="K989">
        <v>0</v>
      </c>
      <c r="L989" t="s">
        <v>62</v>
      </c>
      <c r="M989">
        <v>0</v>
      </c>
      <c r="N989">
        <v>1</v>
      </c>
      <c r="O989">
        <v>23.7</v>
      </c>
      <c r="P989">
        <v>0</v>
      </c>
      <c r="Q989">
        <v>0</v>
      </c>
      <c r="R989">
        <v>0</v>
      </c>
      <c r="S989" t="s">
        <v>57</v>
      </c>
      <c r="T989">
        <v>0</v>
      </c>
      <c r="U989">
        <v>0</v>
      </c>
      <c r="V989">
        <v>0</v>
      </c>
      <c r="W989">
        <v>1</v>
      </c>
      <c r="X989" t="s">
        <v>55</v>
      </c>
    </row>
    <row r="990" customHeight="1" spans="1:24">
      <c r="A990" t="s">
        <v>1053</v>
      </c>
      <c r="B990">
        <v>23</v>
      </c>
      <c r="C990">
        <v>4</v>
      </c>
      <c r="D990" t="s">
        <v>72</v>
      </c>
      <c r="E990" t="s">
        <v>65</v>
      </c>
      <c r="F990" t="s">
        <v>58</v>
      </c>
      <c r="G990">
        <v>430</v>
      </c>
      <c r="H990">
        <v>31.51</v>
      </c>
      <c r="I990">
        <v>135</v>
      </c>
      <c r="J990">
        <v>1197.3</v>
      </c>
      <c r="K990">
        <v>1</v>
      </c>
      <c r="L990" t="s">
        <v>56</v>
      </c>
      <c r="M990">
        <v>1</v>
      </c>
      <c r="N990">
        <v>2</v>
      </c>
      <c r="O990">
        <v>34.8</v>
      </c>
      <c r="P990">
        <v>0</v>
      </c>
      <c r="Q990">
        <v>1</v>
      </c>
      <c r="R990">
        <v>0</v>
      </c>
      <c r="S990" t="s">
        <v>66</v>
      </c>
      <c r="T990">
        <v>1</v>
      </c>
      <c r="U990">
        <v>1</v>
      </c>
      <c r="V990">
        <v>0</v>
      </c>
      <c r="W990">
        <v>0</v>
      </c>
      <c r="X990" t="s">
        <v>58</v>
      </c>
    </row>
    <row r="991" customHeight="1" spans="1:24">
      <c r="A991" t="s">
        <v>1054</v>
      </c>
      <c r="B991">
        <v>66</v>
      </c>
      <c r="C991">
        <v>70</v>
      </c>
      <c r="D991" t="s">
        <v>53</v>
      </c>
      <c r="E991" t="s">
        <v>61</v>
      </c>
      <c r="F991" t="s">
        <v>58</v>
      </c>
      <c r="G991">
        <v>370</v>
      </c>
      <c r="H991">
        <v>32.44</v>
      </c>
      <c r="I991">
        <v>71</v>
      </c>
      <c r="J991">
        <v>426.14</v>
      </c>
      <c r="K991">
        <v>0</v>
      </c>
      <c r="L991" t="s">
        <v>62</v>
      </c>
      <c r="M991">
        <v>1</v>
      </c>
      <c r="N991">
        <v>3</v>
      </c>
      <c r="O991">
        <v>24.7</v>
      </c>
      <c r="P991">
        <v>0</v>
      </c>
      <c r="Q991">
        <v>2</v>
      </c>
      <c r="R991">
        <v>1</v>
      </c>
      <c r="S991" t="s">
        <v>63</v>
      </c>
      <c r="T991">
        <v>1</v>
      </c>
      <c r="U991">
        <v>0</v>
      </c>
      <c r="V991">
        <v>0</v>
      </c>
      <c r="W991">
        <v>0</v>
      </c>
      <c r="X991" t="s">
        <v>58</v>
      </c>
    </row>
    <row r="992" customHeight="1" spans="1:24">
      <c r="A992" t="s">
        <v>1055</v>
      </c>
      <c r="B992">
        <v>65</v>
      </c>
      <c r="C992">
        <v>67</v>
      </c>
      <c r="D992" t="s">
        <v>60</v>
      </c>
      <c r="E992" t="s">
        <v>69</v>
      </c>
      <c r="F992" t="s">
        <v>55</v>
      </c>
      <c r="G992">
        <v>631</v>
      </c>
      <c r="H992">
        <v>25.53</v>
      </c>
      <c r="I992">
        <v>108</v>
      </c>
      <c r="J992">
        <v>787.8</v>
      </c>
      <c r="K992">
        <v>0</v>
      </c>
      <c r="L992" t="s">
        <v>62</v>
      </c>
      <c r="M992">
        <v>0</v>
      </c>
      <c r="N992">
        <v>0</v>
      </c>
      <c r="O992">
        <v>23.7</v>
      </c>
      <c r="P992">
        <v>2</v>
      </c>
      <c r="Q992">
        <v>0</v>
      </c>
      <c r="R992">
        <v>0</v>
      </c>
      <c r="S992" t="s">
        <v>63</v>
      </c>
      <c r="T992">
        <v>0</v>
      </c>
      <c r="U992">
        <v>0</v>
      </c>
      <c r="V992">
        <v>0</v>
      </c>
      <c r="W992">
        <v>1</v>
      </c>
      <c r="X992" t="s">
        <v>58</v>
      </c>
    </row>
    <row r="993" customHeight="1" spans="1:24">
      <c r="A993" t="s">
        <v>1056</v>
      </c>
      <c r="B993">
        <v>23</v>
      </c>
      <c r="C993">
        <v>68</v>
      </c>
      <c r="D993" t="s">
        <v>72</v>
      </c>
      <c r="E993" t="s">
        <v>61</v>
      </c>
      <c r="F993" t="s">
        <v>58</v>
      </c>
      <c r="G993">
        <v>451</v>
      </c>
      <c r="H993">
        <v>8.19</v>
      </c>
      <c r="I993">
        <v>142</v>
      </c>
      <c r="J993">
        <v>1009.22</v>
      </c>
      <c r="K993">
        <v>0</v>
      </c>
      <c r="L993" t="s">
        <v>62</v>
      </c>
      <c r="M993">
        <v>0</v>
      </c>
      <c r="N993">
        <v>1</v>
      </c>
      <c r="O993">
        <v>31</v>
      </c>
      <c r="P993">
        <v>0</v>
      </c>
      <c r="Q993">
        <v>0</v>
      </c>
      <c r="R993">
        <v>0</v>
      </c>
      <c r="S993" t="s">
        <v>63</v>
      </c>
      <c r="T993">
        <v>0</v>
      </c>
      <c r="U993">
        <v>0</v>
      </c>
      <c r="V993">
        <v>0</v>
      </c>
      <c r="W993">
        <v>0</v>
      </c>
      <c r="X993" t="s">
        <v>58</v>
      </c>
    </row>
    <row r="994" customHeight="1" spans="1:24">
      <c r="A994" t="s">
        <v>1057</v>
      </c>
      <c r="B994">
        <v>44</v>
      </c>
      <c r="C994">
        <v>64</v>
      </c>
      <c r="D994" t="s">
        <v>53</v>
      </c>
      <c r="E994" t="s">
        <v>54</v>
      </c>
      <c r="F994" t="s">
        <v>58</v>
      </c>
      <c r="G994">
        <v>431</v>
      </c>
      <c r="H994">
        <v>0.5</v>
      </c>
      <c r="I994">
        <v>180</v>
      </c>
      <c r="J994">
        <v>486.83</v>
      </c>
      <c r="K994">
        <v>1</v>
      </c>
      <c r="L994" t="s">
        <v>56</v>
      </c>
      <c r="M994">
        <v>0</v>
      </c>
      <c r="N994">
        <v>0</v>
      </c>
      <c r="O994">
        <v>23.7</v>
      </c>
      <c r="P994">
        <v>1</v>
      </c>
      <c r="Q994">
        <v>1</v>
      </c>
      <c r="R994">
        <v>0</v>
      </c>
      <c r="S994" t="s">
        <v>63</v>
      </c>
      <c r="T994">
        <v>0</v>
      </c>
      <c r="U994">
        <v>1</v>
      </c>
      <c r="V994">
        <v>1</v>
      </c>
      <c r="W994">
        <v>0</v>
      </c>
      <c r="X994" t="s">
        <v>58</v>
      </c>
    </row>
    <row r="995" customHeight="1" spans="1:24">
      <c r="A995" t="s">
        <v>1058</v>
      </c>
      <c r="B995">
        <v>34</v>
      </c>
      <c r="C995">
        <v>47</v>
      </c>
      <c r="D995" t="s">
        <v>53</v>
      </c>
      <c r="E995" t="s">
        <v>76</v>
      </c>
      <c r="F995" t="s">
        <v>55</v>
      </c>
      <c r="G995">
        <v>535</v>
      </c>
      <c r="H995">
        <v>28.79</v>
      </c>
      <c r="I995">
        <v>172</v>
      </c>
      <c r="J995">
        <v>404.4</v>
      </c>
      <c r="K995">
        <v>1</v>
      </c>
      <c r="L995" t="s">
        <v>56</v>
      </c>
      <c r="M995">
        <v>1</v>
      </c>
      <c r="N995">
        <v>1</v>
      </c>
      <c r="O995">
        <v>16.5</v>
      </c>
      <c r="P995">
        <v>2</v>
      </c>
      <c r="Q995">
        <v>0</v>
      </c>
      <c r="R995">
        <v>2</v>
      </c>
      <c r="S995" t="s">
        <v>63</v>
      </c>
      <c r="T995">
        <v>1</v>
      </c>
      <c r="U995">
        <v>1</v>
      </c>
      <c r="V995">
        <v>0</v>
      </c>
      <c r="W995">
        <v>1</v>
      </c>
      <c r="X995" t="s">
        <v>55</v>
      </c>
    </row>
    <row r="996" customHeight="1" spans="1:24">
      <c r="A996" t="s">
        <v>1059</v>
      </c>
      <c r="B996">
        <v>22</v>
      </c>
      <c r="C996">
        <v>38</v>
      </c>
      <c r="D996" t="s">
        <v>60</v>
      </c>
      <c r="E996" t="s">
        <v>54</v>
      </c>
      <c r="F996" t="s">
        <v>58</v>
      </c>
      <c r="G996">
        <v>564</v>
      </c>
      <c r="H996">
        <v>19.11</v>
      </c>
      <c r="I996">
        <v>42</v>
      </c>
      <c r="J996">
        <v>831.81</v>
      </c>
      <c r="K996">
        <v>1</v>
      </c>
      <c r="L996" t="s">
        <v>56</v>
      </c>
      <c r="M996">
        <v>1</v>
      </c>
      <c r="N996">
        <v>1</v>
      </c>
      <c r="O996">
        <v>18.2</v>
      </c>
      <c r="P996">
        <v>1</v>
      </c>
      <c r="Q996">
        <v>1</v>
      </c>
      <c r="R996">
        <v>0</v>
      </c>
      <c r="S996" t="s">
        <v>63</v>
      </c>
      <c r="T996">
        <v>1</v>
      </c>
      <c r="U996">
        <v>1</v>
      </c>
      <c r="V996">
        <v>0</v>
      </c>
      <c r="W996">
        <v>0</v>
      </c>
      <c r="X996" t="s">
        <v>58</v>
      </c>
    </row>
    <row r="997" customHeight="1" spans="1:24">
      <c r="A997" t="s">
        <v>1060</v>
      </c>
      <c r="B997">
        <v>40</v>
      </c>
      <c r="C997">
        <v>72</v>
      </c>
      <c r="D997" t="s">
        <v>53</v>
      </c>
      <c r="E997" t="s">
        <v>54</v>
      </c>
      <c r="F997" t="s">
        <v>58</v>
      </c>
      <c r="G997">
        <v>518</v>
      </c>
      <c r="H997">
        <v>10.55</v>
      </c>
      <c r="I997">
        <v>188</v>
      </c>
      <c r="J997">
        <v>430.11</v>
      </c>
      <c r="K997">
        <v>0</v>
      </c>
      <c r="L997" t="s">
        <v>62</v>
      </c>
      <c r="M997">
        <v>0</v>
      </c>
      <c r="N997">
        <v>1</v>
      </c>
      <c r="O997">
        <v>6.4</v>
      </c>
      <c r="P997">
        <v>0</v>
      </c>
      <c r="Q997">
        <v>0</v>
      </c>
      <c r="R997">
        <v>0</v>
      </c>
      <c r="S997" t="s">
        <v>63</v>
      </c>
      <c r="T997">
        <v>0</v>
      </c>
      <c r="U997">
        <v>0</v>
      </c>
      <c r="V997">
        <v>0</v>
      </c>
      <c r="W997">
        <v>0</v>
      </c>
      <c r="X997" t="s">
        <v>58</v>
      </c>
    </row>
    <row r="998" customHeight="1" spans="1:24">
      <c r="A998" t="s">
        <v>1061</v>
      </c>
      <c r="B998">
        <v>23</v>
      </c>
      <c r="C998">
        <v>40</v>
      </c>
      <c r="D998" t="s">
        <v>53</v>
      </c>
      <c r="E998" t="s">
        <v>61</v>
      </c>
      <c r="F998" t="s">
        <v>58</v>
      </c>
      <c r="G998">
        <v>613</v>
      </c>
      <c r="H998">
        <v>29.74</v>
      </c>
      <c r="I998">
        <v>114</v>
      </c>
      <c r="J998">
        <v>584.75</v>
      </c>
      <c r="K998">
        <v>1</v>
      </c>
      <c r="L998" t="s">
        <v>56</v>
      </c>
      <c r="M998">
        <v>0</v>
      </c>
      <c r="N998">
        <v>1</v>
      </c>
      <c r="O998">
        <v>20.8</v>
      </c>
      <c r="P998">
        <v>1</v>
      </c>
      <c r="Q998">
        <v>2</v>
      </c>
      <c r="R998">
        <v>1</v>
      </c>
      <c r="S998" t="s">
        <v>63</v>
      </c>
      <c r="T998">
        <v>0</v>
      </c>
      <c r="U998">
        <v>1</v>
      </c>
      <c r="V998">
        <v>0</v>
      </c>
      <c r="W998">
        <v>0</v>
      </c>
      <c r="X998" t="s">
        <v>58</v>
      </c>
    </row>
    <row r="999" customHeight="1" spans="1:24">
      <c r="A999" t="s">
        <v>1062</v>
      </c>
      <c r="B999">
        <v>60</v>
      </c>
      <c r="C999">
        <v>47</v>
      </c>
      <c r="D999" t="s">
        <v>60</v>
      </c>
      <c r="E999" t="s">
        <v>65</v>
      </c>
      <c r="F999" t="s">
        <v>58</v>
      </c>
      <c r="G999">
        <v>491</v>
      </c>
      <c r="H999">
        <v>9.38</v>
      </c>
      <c r="I999">
        <v>51</v>
      </c>
      <c r="J999">
        <v>783.31</v>
      </c>
      <c r="K999">
        <v>0</v>
      </c>
      <c r="L999" t="s">
        <v>62</v>
      </c>
      <c r="M999">
        <v>0</v>
      </c>
      <c r="N999">
        <v>2</v>
      </c>
      <c r="O999">
        <v>25.8</v>
      </c>
      <c r="P999">
        <v>1</v>
      </c>
      <c r="Q999">
        <v>0</v>
      </c>
      <c r="R999">
        <v>1</v>
      </c>
      <c r="S999" t="s">
        <v>63</v>
      </c>
      <c r="T999">
        <v>0</v>
      </c>
      <c r="U999">
        <v>0</v>
      </c>
      <c r="V999">
        <v>0</v>
      </c>
      <c r="W999">
        <v>0</v>
      </c>
      <c r="X999" t="s">
        <v>58</v>
      </c>
    </row>
    <row r="1000" customHeight="1" spans="1:24">
      <c r="A1000" t="s">
        <v>1063</v>
      </c>
      <c r="B1000">
        <v>74</v>
      </c>
      <c r="C1000">
        <v>16</v>
      </c>
      <c r="D1000" t="s">
        <v>72</v>
      </c>
      <c r="E1000" t="s">
        <v>61</v>
      </c>
      <c r="F1000" t="s">
        <v>58</v>
      </c>
      <c r="G1000">
        <v>425</v>
      </c>
      <c r="H1000">
        <v>13.76</v>
      </c>
      <c r="I1000">
        <v>214</v>
      </c>
      <c r="J1000">
        <v>950.52</v>
      </c>
      <c r="K1000">
        <v>0</v>
      </c>
      <c r="L1000" t="s">
        <v>62</v>
      </c>
      <c r="M1000">
        <v>0</v>
      </c>
      <c r="N1000">
        <v>1</v>
      </c>
      <c r="O1000">
        <v>44.6</v>
      </c>
      <c r="P1000">
        <v>0</v>
      </c>
      <c r="Q1000">
        <v>0</v>
      </c>
      <c r="R1000">
        <v>1</v>
      </c>
      <c r="S1000" t="s">
        <v>57</v>
      </c>
      <c r="T1000">
        <v>0</v>
      </c>
      <c r="U1000">
        <v>0</v>
      </c>
      <c r="V1000">
        <v>0</v>
      </c>
      <c r="W1000">
        <v>0</v>
      </c>
      <c r="X1000" t="s">
        <v>58</v>
      </c>
    </row>
    <row r="1001" customHeight="1" spans="1:24">
      <c r="A1001" t="s">
        <v>1064</v>
      </c>
      <c r="B1001">
        <v>42</v>
      </c>
      <c r="C1001">
        <v>54</v>
      </c>
      <c r="D1001" t="s">
        <v>53</v>
      </c>
      <c r="E1001" t="s">
        <v>54</v>
      </c>
      <c r="F1001" t="s">
        <v>58</v>
      </c>
      <c r="G1001">
        <v>586</v>
      </c>
      <c r="H1001">
        <v>23.25</v>
      </c>
      <c r="I1001">
        <v>222</v>
      </c>
      <c r="J1001">
        <v>454.48</v>
      </c>
      <c r="K1001">
        <v>1</v>
      </c>
      <c r="L1001" t="s">
        <v>56</v>
      </c>
      <c r="M1001">
        <v>0</v>
      </c>
      <c r="N1001">
        <v>0</v>
      </c>
      <c r="O1001">
        <v>23.7</v>
      </c>
      <c r="P1001">
        <v>1</v>
      </c>
      <c r="Q1001">
        <v>0</v>
      </c>
      <c r="R1001">
        <v>0</v>
      </c>
      <c r="S1001" t="s">
        <v>63</v>
      </c>
      <c r="T1001">
        <v>0</v>
      </c>
      <c r="U1001">
        <v>1</v>
      </c>
      <c r="V1001">
        <v>0</v>
      </c>
      <c r="W1001">
        <v>0</v>
      </c>
      <c r="X1001" t="s">
        <v>58</v>
      </c>
    </row>
    <row r="1002" customHeight="1" spans="1:24">
      <c r="A1002" t="s">
        <v>1065</v>
      </c>
      <c r="B1002">
        <v>32</v>
      </c>
      <c r="C1002">
        <v>60</v>
      </c>
      <c r="D1002" t="s">
        <v>53</v>
      </c>
      <c r="E1002" t="s">
        <v>69</v>
      </c>
      <c r="F1002" t="s">
        <v>55</v>
      </c>
      <c r="G1002">
        <v>386</v>
      </c>
      <c r="H1002">
        <v>6.86</v>
      </c>
      <c r="I1002">
        <v>138</v>
      </c>
      <c r="J1002">
        <v>423.86</v>
      </c>
      <c r="K1002">
        <v>0</v>
      </c>
      <c r="L1002" t="s">
        <v>62</v>
      </c>
      <c r="M1002">
        <v>1</v>
      </c>
      <c r="N1002">
        <v>2</v>
      </c>
      <c r="O1002">
        <v>13.6</v>
      </c>
      <c r="P1002">
        <v>2</v>
      </c>
      <c r="Q1002">
        <v>0</v>
      </c>
      <c r="R1002">
        <v>1</v>
      </c>
      <c r="S1002" t="s">
        <v>63</v>
      </c>
      <c r="T1002">
        <v>1</v>
      </c>
      <c r="U1002">
        <v>0</v>
      </c>
      <c r="V1002">
        <v>0</v>
      </c>
      <c r="W1002">
        <v>1</v>
      </c>
      <c r="X1002" t="s">
        <v>55</v>
      </c>
    </row>
    <row r="1003" customHeight="1" spans="1:24">
      <c r="A1003" t="s">
        <v>1066</v>
      </c>
      <c r="B1003">
        <v>46</v>
      </c>
      <c r="C1003">
        <v>49</v>
      </c>
      <c r="D1003" t="s">
        <v>72</v>
      </c>
      <c r="E1003" t="s">
        <v>65</v>
      </c>
      <c r="F1003" t="s">
        <v>55</v>
      </c>
      <c r="G1003">
        <v>405</v>
      </c>
      <c r="H1003">
        <v>16.91</v>
      </c>
      <c r="I1003">
        <v>170</v>
      </c>
      <c r="J1003">
        <v>1324.26</v>
      </c>
      <c r="K1003">
        <v>1</v>
      </c>
      <c r="L1003" t="s">
        <v>56</v>
      </c>
      <c r="M1003">
        <v>1</v>
      </c>
      <c r="N1003">
        <v>1</v>
      </c>
      <c r="O1003">
        <v>6.7</v>
      </c>
      <c r="P1003">
        <v>1</v>
      </c>
      <c r="Q1003">
        <v>0</v>
      </c>
      <c r="R1003">
        <v>1</v>
      </c>
      <c r="S1003" t="s">
        <v>63</v>
      </c>
      <c r="T1003">
        <v>1</v>
      </c>
      <c r="U1003">
        <v>1</v>
      </c>
      <c r="V1003">
        <v>0</v>
      </c>
      <c r="W1003">
        <v>1</v>
      </c>
      <c r="X1003" t="s">
        <v>55</v>
      </c>
    </row>
    <row r="1004" customHeight="1" spans="1:24">
      <c r="A1004" t="s">
        <v>1067</v>
      </c>
      <c r="B1004">
        <v>74</v>
      </c>
      <c r="C1004">
        <v>36</v>
      </c>
      <c r="D1004" t="s">
        <v>60</v>
      </c>
      <c r="E1004" t="s">
        <v>61</v>
      </c>
      <c r="F1004" t="s">
        <v>58</v>
      </c>
      <c r="G1004">
        <v>658</v>
      </c>
      <c r="H1004">
        <v>28.89</v>
      </c>
      <c r="I1004">
        <v>174</v>
      </c>
      <c r="J1004">
        <v>642.23</v>
      </c>
      <c r="K1004">
        <v>0</v>
      </c>
      <c r="L1004" t="s">
        <v>62</v>
      </c>
      <c r="M1004">
        <v>0</v>
      </c>
      <c r="N1004">
        <v>2</v>
      </c>
      <c r="O1004">
        <v>21.5</v>
      </c>
      <c r="P1004">
        <v>0</v>
      </c>
      <c r="Q1004">
        <v>1</v>
      </c>
      <c r="R1004">
        <v>2</v>
      </c>
      <c r="S1004" t="s">
        <v>63</v>
      </c>
      <c r="T1004">
        <v>0</v>
      </c>
      <c r="U1004">
        <v>0</v>
      </c>
      <c r="V1004">
        <v>0</v>
      </c>
      <c r="W1004">
        <v>0</v>
      </c>
      <c r="X1004" t="s">
        <v>58</v>
      </c>
    </row>
  </sheetData>
  <mergeCells count="2">
    <mergeCell ref="A1:X1"/>
    <mergeCell ref="A2:X2"/>
  </mergeCells>
  <pageMargins left="0.75" right="0.75" top="1" bottom="1" header="0.511811023622047" footer="0.511811023622047"/>
  <pageSetup paperSize="1" fitToHeight="0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"/>
  <sheetViews>
    <sheetView workbookViewId="0">
      <pane ySplit="4" topLeftCell="A5" activePane="bottomLeft" state="frozen"/>
      <selection/>
      <selection pane="bottomLeft" activeCell="A1" sqref="A1:E1"/>
    </sheetView>
  </sheetViews>
  <sheetFormatPr defaultColWidth="9" defaultRowHeight="14.25" customHeight="1" outlineLevelRow="6" outlineLevelCol="4"/>
  <cols>
    <col min="1" max="1" width="30" customWidth="1"/>
    <col min="2" max="2" width="17" customWidth="1"/>
    <col min="3" max="4" width="12" customWidth="1"/>
    <col min="5" max="5" width="21" customWidth="1"/>
  </cols>
  <sheetData>
    <row r="1" ht="33.75" customHeight="1" spans="1:5">
      <c r="A1" s="28" t="s">
        <v>1068</v>
      </c>
    </row>
    <row r="2" ht="27.75" customHeight="1" spans="1:5">
      <c r="A2" s="29" t="s">
        <v>1069</v>
      </c>
    </row>
    <row r="4" ht="27.75" customHeight="1" spans="1:5">
      <c r="A4" s="30" t="s">
        <v>1070</v>
      </c>
      <c r="B4" s="30" t="s">
        <v>2</v>
      </c>
      <c r="C4" s="30" t="s">
        <v>1071</v>
      </c>
      <c r="D4" s="30" t="s">
        <v>1072</v>
      </c>
      <c r="E4" s="30" t="s">
        <v>1073</v>
      </c>
    </row>
    <row r="5" customHeight="1" spans="1:5">
      <c r="A5" t="s">
        <v>72</v>
      </c>
      <c r="B5">
        <v>267</v>
      </c>
      <c r="C5">
        <v>96</v>
      </c>
      <c r="D5">
        <v>171</v>
      </c>
      <c r="E5" s="33">
        <v>0.359550561797753</v>
      </c>
    </row>
    <row r="6" customHeight="1" spans="1:5">
      <c r="A6" t="s">
        <v>53</v>
      </c>
      <c r="B6">
        <v>342</v>
      </c>
      <c r="C6">
        <v>122</v>
      </c>
      <c r="D6">
        <v>220</v>
      </c>
      <c r="E6" s="33">
        <v>0.35672514619883</v>
      </c>
    </row>
    <row r="7" customHeight="1" spans="1:5">
      <c r="A7" t="s">
        <v>60</v>
      </c>
      <c r="B7">
        <v>391</v>
      </c>
      <c r="C7">
        <v>97</v>
      </c>
      <c r="D7">
        <v>294</v>
      </c>
      <c r="E7" s="33">
        <v>0.248081841432225</v>
      </c>
    </row>
  </sheetData>
  <mergeCells count="2">
    <mergeCell ref="A1:E1"/>
    <mergeCell ref="A2:E2"/>
  </mergeCells>
  <conditionalFormatting sqref="E5:E7">
    <cfRule type="dataBar" priority="2">
      <dataBar>
        <cfvo type="num" val="0"/>
        <cfvo type="num" val="1"/>
        <color rgb="FF0F6B78"/>
      </dataBar>
      <extLst>
        <ext xmlns:x14="http://schemas.microsoft.com/office/spreadsheetml/2009/9/main" uri="{B025F937-C7B1-47D3-B67F-A62EFF666E3E}">
          <x14:id>{66ecba91-4d46-4272-b7e0-16fccf8a886b}</x14:id>
        </ext>
      </extLst>
    </cfRule>
  </conditionalFormatting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cba91-4d46-4272-b7e0-16fccf8a886b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E5:E7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"/>
  <sheetViews>
    <sheetView workbookViewId="0">
      <pane ySplit="4" topLeftCell="A5" activePane="bottomLeft" state="frozen"/>
      <selection/>
      <selection pane="bottomLeft" activeCell="A6" sqref="A6"/>
    </sheetView>
  </sheetViews>
  <sheetFormatPr defaultColWidth="9" defaultRowHeight="14.25" customHeight="1" outlineLevelRow="6" outlineLevelCol="5"/>
  <cols>
    <col min="1" max="1" width="30" customWidth="1"/>
    <col min="2" max="2" width="17" customWidth="1"/>
    <col min="3" max="4" width="12" customWidth="1"/>
    <col min="5" max="6" width="20" customWidth="1"/>
  </cols>
  <sheetData>
    <row r="1" ht="33.75" customHeight="1" spans="1:6">
      <c r="A1" s="28" t="s">
        <v>1074</v>
      </c>
    </row>
    <row r="2" ht="27.75" customHeight="1" spans="1:6">
      <c r="A2" s="29" t="s">
        <v>1075</v>
      </c>
    </row>
    <row r="4" ht="27.75" customHeight="1" spans="1:6">
      <c r="A4" s="30" t="s">
        <v>1076</v>
      </c>
      <c r="B4" s="30" t="s">
        <v>2</v>
      </c>
      <c r="C4" s="30" t="s">
        <v>1071</v>
      </c>
      <c r="D4" s="30" t="s">
        <v>1072</v>
      </c>
      <c r="E4" s="30" t="s">
        <v>1073</v>
      </c>
      <c r="F4" s="30" t="s">
        <v>1077</v>
      </c>
    </row>
    <row r="5" customHeight="1" spans="1:6">
      <c r="A5" t="s">
        <v>66</v>
      </c>
      <c r="B5">
        <v>93</v>
      </c>
      <c r="C5">
        <v>50</v>
      </c>
      <c r="D5">
        <v>43</v>
      </c>
      <c r="E5" s="33">
        <v>0.537634408602151</v>
      </c>
      <c r="F5" s="35">
        <v>3.52688172043011</v>
      </c>
    </row>
    <row r="6" customHeight="1" spans="1:6">
      <c r="A6" t="s">
        <v>57</v>
      </c>
      <c r="B6">
        <v>260</v>
      </c>
      <c r="C6">
        <v>69</v>
      </c>
      <c r="D6">
        <v>191</v>
      </c>
      <c r="E6" s="33">
        <v>0.265384615384615</v>
      </c>
      <c r="F6" s="35">
        <v>15.7653846153846</v>
      </c>
    </row>
    <row r="7" customHeight="1" spans="1:6">
      <c r="A7" t="s">
        <v>63</v>
      </c>
      <c r="B7">
        <v>647</v>
      </c>
      <c r="C7">
        <v>196</v>
      </c>
      <c r="D7">
        <v>451</v>
      </c>
      <c r="E7" s="33">
        <v>0.302936630602782</v>
      </c>
      <c r="F7" s="35">
        <v>48.3276661514683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"/>
  <sheetViews>
    <sheetView workbookViewId="0">
      <pane ySplit="4" topLeftCell="A5" activePane="bottomLeft" state="frozen"/>
      <selection/>
      <selection pane="bottomLeft" activeCell="A1" sqref="A1:E1"/>
    </sheetView>
  </sheetViews>
  <sheetFormatPr defaultColWidth="9" defaultRowHeight="14.25" customHeight="1" outlineLevelRow="5" outlineLevelCol="4"/>
  <cols>
    <col min="1" max="1" width="30" customWidth="1"/>
    <col min="2" max="2" width="12" customWidth="1"/>
    <col min="3" max="3" width="20" customWidth="1"/>
    <col min="4" max="4" width="25" customWidth="1"/>
    <col min="5" max="5" width="22" customWidth="1"/>
  </cols>
  <sheetData>
    <row r="1" ht="33.75" customHeight="1" spans="1:5">
      <c r="A1" s="28" t="s">
        <v>1078</v>
      </c>
    </row>
    <row r="2" ht="27.75" customHeight="1" spans="1:5">
      <c r="A2" s="29" t="s">
        <v>1079</v>
      </c>
    </row>
    <row r="4" ht="27.75" customHeight="1" spans="1:5">
      <c r="A4" s="30" t="s">
        <v>1080</v>
      </c>
      <c r="B4" s="30" t="s">
        <v>1081</v>
      </c>
      <c r="C4" s="30" t="s">
        <v>1082</v>
      </c>
      <c r="D4" s="30" t="s">
        <v>1083</v>
      </c>
      <c r="E4" s="30" t="s">
        <v>1084</v>
      </c>
    </row>
    <row r="5" customHeight="1" spans="1:5">
      <c r="A5" t="s">
        <v>58</v>
      </c>
      <c r="B5">
        <v>685</v>
      </c>
      <c r="C5" s="32">
        <v>0.575182481751825</v>
      </c>
      <c r="D5" s="32">
        <v>1.08467153284671</v>
      </c>
      <c r="E5" s="32">
        <v>23.6591240875912</v>
      </c>
    </row>
    <row r="6" customHeight="1" spans="1:5">
      <c r="A6" t="s">
        <v>55</v>
      </c>
      <c r="B6">
        <v>315</v>
      </c>
      <c r="C6" s="32">
        <v>0.749206349206349</v>
      </c>
      <c r="D6" s="32">
        <v>1.21269841269841</v>
      </c>
      <c r="E6" s="32">
        <v>23.5615873015873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"/>
  <sheetViews>
    <sheetView workbookViewId="0">
      <pane ySplit="4" topLeftCell="A5" activePane="bottomLeft" state="frozen"/>
      <selection/>
      <selection pane="bottomLeft" activeCell="A1" sqref="A1:F1"/>
    </sheetView>
  </sheetViews>
  <sheetFormatPr defaultColWidth="9" defaultRowHeight="14.25" customHeight="1" outlineLevelRow="5" outlineLevelCol="5"/>
  <cols>
    <col min="1" max="1" width="30" customWidth="1"/>
    <col min="2" max="2" width="17" customWidth="1"/>
    <col min="3" max="4" width="12" customWidth="1"/>
    <col min="5" max="5" width="21" customWidth="1"/>
    <col min="6" max="6" width="25" customWidth="1"/>
  </cols>
  <sheetData>
    <row r="1" ht="33.75" customHeight="1" spans="1:6">
      <c r="A1" s="28" t="s">
        <v>1085</v>
      </c>
    </row>
    <row r="2" ht="27.75" customHeight="1" spans="1:6">
      <c r="A2" s="29" t="s">
        <v>1086</v>
      </c>
    </row>
    <row r="4" ht="27.75" customHeight="1" spans="1:6">
      <c r="A4" s="30" t="s">
        <v>1087</v>
      </c>
      <c r="B4" s="30" t="s">
        <v>2</v>
      </c>
      <c r="C4" s="30" t="s">
        <v>1071</v>
      </c>
      <c r="D4" s="30" t="s">
        <v>1072</v>
      </c>
      <c r="E4" s="30" t="s">
        <v>1073</v>
      </c>
      <c r="F4" s="30" t="s">
        <v>1088</v>
      </c>
    </row>
    <row r="5" customHeight="1" spans="1:6">
      <c r="A5" t="s">
        <v>1089</v>
      </c>
      <c r="B5">
        <v>638</v>
      </c>
      <c r="C5">
        <v>174</v>
      </c>
      <c r="D5">
        <v>464</v>
      </c>
      <c r="E5" s="33">
        <v>0.272727272727273</v>
      </c>
      <c r="F5" s="34">
        <v>745.779764890282</v>
      </c>
    </row>
    <row r="6" customHeight="1" spans="1:6">
      <c r="A6" t="s">
        <v>1090</v>
      </c>
      <c r="B6">
        <v>362</v>
      </c>
      <c r="C6">
        <v>141</v>
      </c>
      <c r="D6">
        <v>221</v>
      </c>
      <c r="E6" s="33">
        <v>0.389502762430939</v>
      </c>
      <c r="F6" s="34">
        <v>789.129958563536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"/>
  <sheetViews>
    <sheetView workbookViewId="0">
      <pane ySplit="4" topLeftCell="A5" activePane="bottomLeft" state="frozen"/>
      <selection/>
      <selection pane="bottomLeft" activeCell="A1" sqref="A1:E1"/>
    </sheetView>
  </sheetViews>
  <sheetFormatPr defaultColWidth="9" defaultRowHeight="14.25" customHeight="1" outlineLevelCol="4"/>
  <cols>
    <col min="1" max="1" width="30" customWidth="1"/>
    <col min="2" max="2" width="17" customWidth="1"/>
    <col min="3" max="4" width="12" customWidth="1"/>
    <col min="5" max="5" width="21" customWidth="1"/>
  </cols>
  <sheetData>
    <row r="1" ht="33.75" customHeight="1" spans="1:5">
      <c r="A1" s="28" t="s">
        <v>1091</v>
      </c>
    </row>
    <row r="2" ht="27.75" customHeight="1" spans="1:5">
      <c r="A2" s="29" t="s">
        <v>1092</v>
      </c>
    </row>
    <row r="4" ht="27.75" customHeight="1" spans="1:5">
      <c r="A4" s="30" t="s">
        <v>1093</v>
      </c>
      <c r="B4" s="30" t="s">
        <v>2</v>
      </c>
      <c r="C4" s="30" t="s">
        <v>1071</v>
      </c>
      <c r="D4" s="30" t="s">
        <v>1072</v>
      </c>
      <c r="E4" s="30" t="s">
        <v>1073</v>
      </c>
    </row>
    <row r="5" customHeight="1" spans="1:5">
      <c r="A5" t="s">
        <v>117</v>
      </c>
      <c r="B5">
        <v>15</v>
      </c>
      <c r="C5">
        <v>6</v>
      </c>
      <c r="D5">
        <v>9</v>
      </c>
      <c r="E5" s="33">
        <v>0.4</v>
      </c>
    </row>
    <row r="6" customHeight="1" spans="1:5">
      <c r="A6" t="s">
        <v>54</v>
      </c>
      <c r="B6">
        <v>218</v>
      </c>
      <c r="C6">
        <v>78</v>
      </c>
      <c r="D6">
        <v>140</v>
      </c>
      <c r="E6" s="33">
        <v>0.357798165137615</v>
      </c>
    </row>
    <row r="7" customHeight="1" spans="1:5">
      <c r="A7" t="s">
        <v>76</v>
      </c>
      <c r="B7">
        <v>175</v>
      </c>
      <c r="C7">
        <v>56</v>
      </c>
      <c r="D7">
        <v>119</v>
      </c>
      <c r="E7" s="33">
        <v>0.32</v>
      </c>
    </row>
    <row r="8" customHeight="1" spans="1:5">
      <c r="A8" t="s">
        <v>69</v>
      </c>
      <c r="B8">
        <v>215</v>
      </c>
      <c r="C8">
        <v>68</v>
      </c>
      <c r="D8">
        <v>147</v>
      </c>
      <c r="E8" s="33">
        <v>0.316279069767442</v>
      </c>
    </row>
    <row r="9" customHeight="1" spans="1:5">
      <c r="A9" t="s">
        <v>65</v>
      </c>
      <c r="B9">
        <v>149</v>
      </c>
      <c r="C9">
        <v>44</v>
      </c>
      <c r="D9">
        <v>105</v>
      </c>
      <c r="E9" s="33">
        <v>0.295302013422819</v>
      </c>
    </row>
    <row r="10" customHeight="1" spans="1:5">
      <c r="A10" t="s">
        <v>61</v>
      </c>
      <c r="B10">
        <v>228</v>
      </c>
      <c r="C10">
        <v>63</v>
      </c>
      <c r="D10">
        <v>165</v>
      </c>
      <c r="E10" s="33">
        <v>0.276315789473684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3"/>
  <sheetViews>
    <sheetView workbookViewId="0">
      <pane ySplit="4" topLeftCell="A5" activePane="bottomLeft" state="frozen"/>
      <selection/>
      <selection pane="bottomLeft" activeCell="A1" sqref="A1:F1"/>
    </sheetView>
  </sheetViews>
  <sheetFormatPr defaultColWidth="9" defaultRowHeight="14.25" customHeight="1" outlineLevelCol="6"/>
  <cols>
    <col min="1" max="1" width="30" customWidth="1"/>
    <col min="2" max="2" width="12" customWidth="1"/>
    <col min="3" max="3" width="17" customWidth="1"/>
    <col min="4" max="5" width="12" customWidth="1"/>
    <col min="6" max="6" width="21" customWidth="1"/>
    <col min="7" max="7" width="13" hidden="1" customWidth="1"/>
  </cols>
  <sheetData>
    <row r="1" ht="33.75" customHeight="1" spans="1:7">
      <c r="A1" s="28" t="s">
        <v>1094</v>
      </c>
    </row>
    <row r="2" ht="27.75" customHeight="1" spans="1:7">
      <c r="A2" s="29" t="s">
        <v>1095</v>
      </c>
    </row>
    <row r="4" ht="27.75" customHeight="1" spans="1:7">
      <c r="A4" s="30" t="s">
        <v>1076</v>
      </c>
      <c r="B4" s="30" t="s">
        <v>1070</v>
      </c>
      <c r="C4" s="30" t="s">
        <v>2</v>
      </c>
      <c r="D4" s="30" t="s">
        <v>1071</v>
      </c>
      <c r="E4" s="30" t="s">
        <v>1072</v>
      </c>
      <c r="F4" s="30" t="s">
        <v>1073</v>
      </c>
      <c r="G4" t="s">
        <v>1096</v>
      </c>
    </row>
    <row r="5" customHeight="1" spans="1:7">
      <c r="A5" t="s">
        <v>66</v>
      </c>
      <c r="B5" t="s">
        <v>53</v>
      </c>
      <c r="C5">
        <v>39</v>
      </c>
      <c r="D5">
        <v>24</v>
      </c>
      <c r="E5">
        <v>15</v>
      </c>
      <c r="F5" s="33">
        <v>0.615384615384615</v>
      </c>
      <c r="G5" t="s">
        <v>1097</v>
      </c>
    </row>
    <row r="6" customHeight="1" spans="1:7">
      <c r="A6" t="s">
        <v>66</v>
      </c>
      <c r="B6" t="s">
        <v>72</v>
      </c>
      <c r="C6">
        <v>25</v>
      </c>
      <c r="D6">
        <v>12</v>
      </c>
      <c r="E6">
        <v>13</v>
      </c>
      <c r="F6" s="33">
        <v>0.48</v>
      </c>
      <c r="G6" t="s">
        <v>1098</v>
      </c>
    </row>
    <row r="7" customHeight="1" spans="1:7">
      <c r="A7" t="s">
        <v>66</v>
      </c>
      <c r="B7" t="s">
        <v>60</v>
      </c>
      <c r="C7">
        <v>29</v>
      </c>
      <c r="D7">
        <v>14</v>
      </c>
      <c r="E7">
        <v>15</v>
      </c>
      <c r="F7" s="33">
        <v>0.482758620689655</v>
      </c>
      <c r="G7" t="s">
        <v>1099</v>
      </c>
    </row>
    <row r="8" customHeight="1" spans="1:7">
      <c r="A8" t="s">
        <v>57</v>
      </c>
      <c r="B8" t="s">
        <v>53</v>
      </c>
      <c r="C8">
        <v>88</v>
      </c>
      <c r="D8">
        <v>25</v>
      </c>
      <c r="E8">
        <v>63</v>
      </c>
      <c r="F8" s="33">
        <v>0.284090909090909</v>
      </c>
      <c r="G8" t="s">
        <v>1100</v>
      </c>
    </row>
    <row r="9" customHeight="1" spans="1:7">
      <c r="A9" t="s">
        <v>57</v>
      </c>
      <c r="B9" t="s">
        <v>72</v>
      </c>
      <c r="C9">
        <v>79</v>
      </c>
      <c r="D9">
        <v>25</v>
      </c>
      <c r="E9">
        <v>54</v>
      </c>
      <c r="F9" s="33">
        <v>0.316455696202532</v>
      </c>
      <c r="G9" t="s">
        <v>1101</v>
      </c>
    </row>
    <row r="10" customHeight="1" spans="1:7">
      <c r="A10" t="s">
        <v>57</v>
      </c>
      <c r="B10" t="s">
        <v>60</v>
      </c>
      <c r="C10">
        <v>93</v>
      </c>
      <c r="D10">
        <v>19</v>
      </c>
      <c r="E10">
        <v>74</v>
      </c>
      <c r="F10" s="33">
        <v>0.204301075268817</v>
      </c>
      <c r="G10" t="s">
        <v>1102</v>
      </c>
    </row>
    <row r="11" customHeight="1" spans="1:7">
      <c r="A11" t="s">
        <v>63</v>
      </c>
      <c r="B11" t="s">
        <v>53</v>
      </c>
      <c r="C11">
        <v>215</v>
      </c>
      <c r="D11">
        <v>73</v>
      </c>
      <c r="E11">
        <v>142</v>
      </c>
      <c r="F11" s="33">
        <v>0.33953488372093</v>
      </c>
      <c r="G11" t="s">
        <v>1103</v>
      </c>
    </row>
    <row r="12" customHeight="1" spans="1:7">
      <c r="A12" t="s">
        <v>63</v>
      </c>
      <c r="B12" t="s">
        <v>72</v>
      </c>
      <c r="C12">
        <v>163</v>
      </c>
      <c r="D12">
        <v>59</v>
      </c>
      <c r="E12">
        <v>104</v>
      </c>
      <c r="F12" s="33">
        <v>0.361963190184049</v>
      </c>
      <c r="G12" t="s">
        <v>1104</v>
      </c>
    </row>
    <row r="13" customHeight="1" spans="1:7">
      <c r="A13" t="s">
        <v>63</v>
      </c>
      <c r="B13" t="s">
        <v>60</v>
      </c>
      <c r="C13">
        <v>269</v>
      </c>
      <c r="D13">
        <v>64</v>
      </c>
      <c r="E13">
        <v>205</v>
      </c>
      <c r="F13" s="33">
        <v>0.237918215613383</v>
      </c>
      <c r="G13" t="s">
        <v>1105</v>
      </c>
    </row>
  </sheetData>
  <mergeCells count="2">
    <mergeCell ref="A1:F1"/>
    <mergeCell ref="A2:F2"/>
  </mergeCells>
  <conditionalFormatting sqref="F5:F13">
    <cfRule type="dataBar" priority="2">
      <dataBar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{388b963f-70a0-4883-ba73-fc6619d55c99}</x14:id>
        </ext>
      </extLst>
    </cfRule>
  </conditionalFormatting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8b963f-70a0-4883-ba73-fc6619d55c99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F5:F13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pane ySplit="4" topLeftCell="A5" activePane="bottomLeft" state="frozen"/>
      <selection/>
      <selection pane="bottomLeft" activeCell="A1" sqref="A1:D1"/>
    </sheetView>
  </sheetViews>
  <sheetFormatPr defaultColWidth="9" defaultRowHeight="14.25" customHeight="1" outlineLevelCol="3"/>
  <cols>
    <col min="1" max="2" width="42" customWidth="1"/>
    <col min="3" max="3" width="19" customWidth="1"/>
    <col min="4" max="4" width="38" customWidth="1"/>
  </cols>
  <sheetData>
    <row r="1" ht="33.75" customHeight="1" spans="1:4">
      <c r="A1" s="28" t="s">
        <v>1106</v>
      </c>
    </row>
    <row r="2" ht="27.75" customHeight="1" spans="1:4">
      <c r="A2" s="29" t="s">
        <v>1107</v>
      </c>
    </row>
    <row r="4" ht="27.75" customHeight="1" spans="1:4">
      <c r="A4" s="30" t="s">
        <v>1108</v>
      </c>
      <c r="B4" s="30" t="s">
        <v>1109</v>
      </c>
      <c r="C4" s="30" t="s">
        <v>1110</v>
      </c>
      <c r="D4" s="30" t="s">
        <v>1111</v>
      </c>
    </row>
    <row r="5" customHeight="1" spans="1:4">
      <c r="A5" t="s">
        <v>1112</v>
      </c>
      <c r="B5">
        <f>COUNTA(Cleaned_Data!A5:A1004)</f>
        <v>1000</v>
      </c>
      <c r="C5" s="32">
        <v>1000</v>
      </c>
      <c r="D5" t="s">
        <v>1113</v>
      </c>
    </row>
    <row r="6" customHeight="1" spans="1:4">
      <c r="A6" t="s">
        <v>1114</v>
      </c>
      <c r="B6">
        <f>COUNTIF(Cleaned_Data!F5:F1004,"Yes")</f>
        <v>315</v>
      </c>
      <c r="C6" s="32">
        <v>315</v>
      </c>
      <c r="D6" t="s">
        <v>1115</v>
      </c>
    </row>
    <row r="7" customHeight="1" spans="1:4">
      <c r="A7" t="s">
        <v>1116</v>
      </c>
      <c r="B7">
        <f>COUNTIF(Cleaned_Data!F5:F1004,"No")</f>
        <v>685</v>
      </c>
      <c r="C7" s="32">
        <v>685</v>
      </c>
      <c r="D7" t="s">
        <v>1117</v>
      </c>
    </row>
    <row r="8" customHeight="1" spans="1:4">
      <c r="A8" t="s">
        <v>1118</v>
      </c>
      <c r="B8">
        <f>IFERROR(COUNTIF(Cleaned_Data!F5:F1004,"Yes")/COUNTA(Cleaned_Data!A5:A1004),0)</f>
        <v>0.315</v>
      </c>
      <c r="C8" s="33">
        <v>0.315</v>
      </c>
      <c r="D8" t="s">
        <v>1119</v>
      </c>
    </row>
    <row r="9" customHeight="1" spans="1:4">
      <c r="A9" t="s">
        <v>1120</v>
      </c>
      <c r="B9">
        <f>AVERAGE(Cleaned_Data!C5:C1004)</f>
        <v>35.695</v>
      </c>
      <c r="C9" s="32">
        <v>35.695</v>
      </c>
      <c r="D9" t="s">
        <v>1121</v>
      </c>
    </row>
    <row r="10" customHeight="1" spans="1:4">
      <c r="A10" t="s">
        <v>1122</v>
      </c>
      <c r="B10">
        <f>AVERAGE(Cleaned_Data!J5:J1004)</f>
        <v>761.472534999999</v>
      </c>
      <c r="C10" s="32">
        <v>761.472535</v>
      </c>
      <c r="D10" t="s">
        <v>1123</v>
      </c>
    </row>
    <row r="11" customHeight="1" spans="1:4">
      <c r="A11" t="s">
        <v>1124</v>
      </c>
      <c r="B11">
        <f>AVERAGE(Cleaned_Data!M5:M1004)</f>
        <v>0.63</v>
      </c>
      <c r="C11" s="32">
        <v>0.63</v>
      </c>
      <c r="D11" t="s">
        <v>1125</v>
      </c>
    </row>
    <row r="12" customHeight="1" spans="1:4">
      <c r="A12" t="s">
        <v>1126</v>
      </c>
      <c r="B12">
        <f>AVERAGE(Cleaned_Data!H5:H1004)</f>
        <v>18.07473</v>
      </c>
      <c r="C12" s="32">
        <v>18.07473</v>
      </c>
      <c r="D12" t="s">
        <v>1127</v>
      </c>
    </row>
    <row r="13" customHeight="1" spans="1:4">
      <c r="A13" t="s">
        <v>1128</v>
      </c>
      <c r="B13">
        <f>AVERAGE(Cleaned_Data!O5:O1004)</f>
        <v>23.6284</v>
      </c>
      <c r="C13" s="32">
        <v>23.6284</v>
      </c>
      <c r="D13" t="s">
        <v>1129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1" fitToHeight="0" orientation="portrait" horizontalDpi="300" verticalDpi="300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9"/>
  <sheetViews>
    <sheetView workbookViewId="0">
      <selection activeCell="A1" sqref="A1:B1"/>
    </sheetView>
  </sheetViews>
  <sheetFormatPr defaultColWidth="9" defaultRowHeight="14.25" customHeight="1" outlineLevelCol="1"/>
  <cols>
    <col min="1" max="1" width="35" customWidth="1"/>
    <col min="2" max="2" width="21" customWidth="1"/>
  </cols>
  <sheetData>
    <row r="1" ht="33.75" customHeight="1" spans="1:2">
      <c r="A1" s="28" t="s">
        <v>1130</v>
      </c>
    </row>
    <row r="2" ht="27.75" customHeight="1" spans="1:2">
      <c r="A2" s="29" t="s">
        <v>1131</v>
      </c>
    </row>
    <row r="4" ht="27.75" customHeight="1" spans="1:2">
      <c r="A4" s="30" t="s">
        <v>1132</v>
      </c>
      <c r="B4" s="30" t="s">
        <v>1133</v>
      </c>
    </row>
    <row r="5" customHeight="1" spans="1:2">
      <c r="A5" t="s">
        <v>1134</v>
      </c>
      <c r="B5">
        <v>0.101532567695624</v>
      </c>
    </row>
    <row r="6" customHeight="1" spans="1:2">
      <c r="A6" t="s">
        <v>1135</v>
      </c>
      <c r="B6">
        <v>0.0973865388686014</v>
      </c>
    </row>
    <row r="7" customHeight="1" spans="1:2">
      <c r="A7" t="s">
        <v>1136</v>
      </c>
      <c r="B7">
        <v>0.0957698303263786</v>
      </c>
    </row>
    <row r="8" customHeight="1" spans="1:2">
      <c r="A8" t="s">
        <v>1137</v>
      </c>
      <c r="B8">
        <v>0.0939199740063176</v>
      </c>
    </row>
    <row r="9" customHeight="1" spans="1:2">
      <c r="A9" t="s">
        <v>1138</v>
      </c>
      <c r="B9">
        <v>0.0934549800087198</v>
      </c>
    </row>
    <row r="10" customHeight="1" spans="1:2">
      <c r="A10" t="s">
        <v>1139</v>
      </c>
      <c r="B10">
        <v>0.0907018532273334</v>
      </c>
    </row>
    <row r="11" customHeight="1" spans="1:2">
      <c r="A11" t="s">
        <v>1140</v>
      </c>
      <c r="B11">
        <v>0.0888685374572845</v>
      </c>
    </row>
    <row r="12" customHeight="1" spans="1:2">
      <c r="A12" t="s">
        <v>1141</v>
      </c>
      <c r="B12">
        <v>0.043688831705418</v>
      </c>
    </row>
    <row r="13" customHeight="1" spans="1:2">
      <c r="A13" t="s">
        <v>1142</v>
      </c>
      <c r="B13">
        <v>0.0345124901367058</v>
      </c>
    </row>
    <row r="14" customHeight="1" spans="1:2">
      <c r="A14" t="s">
        <v>1143</v>
      </c>
      <c r="B14">
        <v>0.0285361720461734</v>
      </c>
    </row>
    <row r="15" customHeight="1" spans="1:2">
      <c r="A15" t="s">
        <v>1144</v>
      </c>
      <c r="B15">
        <v>0.0245824887401063</v>
      </c>
    </row>
    <row r="16" customHeight="1" spans="1:2">
      <c r="A16" t="s">
        <v>1145</v>
      </c>
      <c r="B16">
        <v>0.0229729977803903</v>
      </c>
    </row>
    <row r="17" customHeight="1" spans="1:2">
      <c r="A17" t="s">
        <v>1146</v>
      </c>
      <c r="B17">
        <v>0.0213427366649436</v>
      </c>
    </row>
    <row r="18" customHeight="1" spans="1:2">
      <c r="A18" t="s">
        <v>1147</v>
      </c>
      <c r="B18">
        <v>0.0149470306829019</v>
      </c>
    </row>
    <row r="19" customHeight="1" spans="1:2">
      <c r="A19" t="s">
        <v>1148</v>
      </c>
      <c r="B19">
        <v>0.0142830881138416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1" fitToHeight="0" orientation="portrait" horizontalDpi="300" verticalDpi="300"/>
  <headerFooter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4.25" customHeight="1" outlineLevelCol="3"/>
  <cols>
    <col min="1" max="1" width="30" customWidth="1"/>
    <col min="2" max="2" width="105" customWidth="1"/>
  </cols>
  <sheetData>
    <row r="1" ht="33.75" customHeight="1" spans="1:2">
      <c r="A1" s="28" t="s">
        <v>1149</v>
      </c>
    </row>
    <row r="2" ht="27.75" customHeight="1" spans="1:2">
      <c r="A2" s="29" t="s">
        <v>1150</v>
      </c>
    </row>
    <row r="4" ht="27.75" customHeight="1" spans="1:2">
      <c r="A4" s="30" t="s">
        <v>1151</v>
      </c>
      <c r="B4" s="30" t="s">
        <v>1152</v>
      </c>
    </row>
    <row r="5" ht="42" customHeight="1" spans="1:2">
      <c r="A5" t="s">
        <v>1153</v>
      </c>
      <c r="B5" s="31" t="s">
        <v>1154</v>
      </c>
    </row>
    <row r="6" ht="42" customHeight="1" spans="1:2">
      <c r="A6" t="s">
        <v>1155</v>
      </c>
      <c r="B6" s="31" t="s">
        <v>1156</v>
      </c>
    </row>
    <row r="7" ht="42" customHeight="1" spans="1:2">
      <c r="A7" t="s">
        <v>1157</v>
      </c>
      <c r="B7" s="31" t="s">
        <v>1158</v>
      </c>
    </row>
    <row r="8" ht="42" customHeight="1" spans="1:2">
      <c r="A8" t="s">
        <v>1159</v>
      </c>
      <c r="B8" s="31" t="s">
        <v>1160</v>
      </c>
    </row>
    <row r="9" ht="42" customHeight="1" spans="1:2">
      <c r="A9" t="s">
        <v>1161</v>
      </c>
      <c r="B9" s="31" t="s">
        <v>1162</v>
      </c>
    </row>
    <row r="10" ht="42" customHeight="1" spans="1:2">
      <c r="A10" t="s">
        <v>1163</v>
      </c>
      <c r="B10" s="31" t="s">
        <v>1164</v>
      </c>
    </row>
    <row r="11" ht="42" customHeight="1" spans="1:2">
      <c r="A11" t="s">
        <v>1165</v>
      </c>
      <c r="B11" s="31" t="s">
        <v>1166</v>
      </c>
    </row>
    <row r="12" ht="42" customHeight="1" spans="1:2">
      <c r="A12" t="s">
        <v>1167</v>
      </c>
      <c r="B12" s="31" t="s">
        <v>1168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1169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31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 t="s">
        <v>53</v>
      </c>
      <c r="B7" s="13">
        <v>220</v>
      </c>
      <c r="C7" s="14">
        <v>122</v>
      </c>
      <c r="D7" s="15">
        <v>342</v>
      </c>
      <c r="F7" s="16">
        <v>0.35672514619883</v>
      </c>
    </row>
    <row r="8" customHeight="1" spans="1:6">
      <c r="A8" s="17" t="s">
        <v>72</v>
      </c>
      <c r="B8" s="25">
        <v>171</v>
      </c>
      <c r="C8" s="26">
        <v>96</v>
      </c>
      <c r="D8" s="27">
        <v>267</v>
      </c>
      <c r="F8" s="16">
        <v>0.359550561797753</v>
      </c>
    </row>
    <row r="9" customHeight="1" spans="1:6">
      <c r="A9" s="17" t="s">
        <v>60</v>
      </c>
      <c r="B9" s="18">
        <v>294</v>
      </c>
      <c r="C9" s="19">
        <v>97</v>
      </c>
      <c r="D9" s="20">
        <v>391</v>
      </c>
      <c r="F9" s="16">
        <v>0.248081841432225</v>
      </c>
    </row>
    <row r="10" customHeight="1" spans="1:6">
      <c r="A10" s="21" t="s">
        <v>1172</v>
      </c>
      <c r="B10" s="22">
        <v>685</v>
      </c>
      <c r="C10" s="23">
        <v>315</v>
      </c>
      <c r="D10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1173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46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 t="s">
        <v>63</v>
      </c>
      <c r="B7" s="13">
        <v>451</v>
      </c>
      <c r="C7" s="14">
        <v>196</v>
      </c>
      <c r="D7" s="15">
        <v>647</v>
      </c>
      <c r="F7" s="16">
        <v>0.302936630602782</v>
      </c>
    </row>
    <row r="8" customHeight="1" spans="1:6">
      <c r="A8" s="17" t="s">
        <v>57</v>
      </c>
      <c r="B8" s="25">
        <v>191</v>
      </c>
      <c r="C8" s="26">
        <v>69</v>
      </c>
      <c r="D8" s="27">
        <v>260</v>
      </c>
      <c r="F8" s="16">
        <v>0.265384615384615</v>
      </c>
    </row>
    <row r="9" customHeight="1" spans="1:6">
      <c r="A9" s="17" t="s">
        <v>66</v>
      </c>
      <c r="B9" s="18">
        <v>43</v>
      </c>
      <c r="C9" s="19">
        <v>50</v>
      </c>
      <c r="D9" s="20">
        <v>93</v>
      </c>
      <c r="F9" s="16">
        <v>0.537634408602151</v>
      </c>
    </row>
    <row r="10" customHeight="1" spans="1:6">
      <c r="A10" s="21" t="s">
        <v>1172</v>
      </c>
      <c r="B10" s="22">
        <v>685</v>
      </c>
      <c r="C10" s="23">
        <v>315</v>
      </c>
      <c r="D10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1174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40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>
        <v>0</v>
      </c>
      <c r="B7" s="13">
        <v>390</v>
      </c>
      <c r="C7" s="14">
        <v>156</v>
      </c>
      <c r="D7" s="15">
        <v>546</v>
      </c>
      <c r="F7" s="16">
        <v>0.285714285714286</v>
      </c>
    </row>
    <row r="8" customHeight="1" spans="1:6">
      <c r="A8" s="17">
        <v>1</v>
      </c>
      <c r="B8" s="25">
        <v>219</v>
      </c>
      <c r="C8" s="26">
        <v>104</v>
      </c>
      <c r="D8" s="27">
        <v>323</v>
      </c>
      <c r="F8" s="16">
        <v>0.321981424148607</v>
      </c>
    </row>
    <row r="9" customHeight="1" spans="1:6">
      <c r="A9" s="17">
        <v>2</v>
      </c>
      <c r="B9" s="25">
        <v>58</v>
      </c>
      <c r="C9" s="26">
        <v>39</v>
      </c>
      <c r="D9" s="27">
        <v>97</v>
      </c>
      <c r="F9" s="16">
        <v>0.402061855670103</v>
      </c>
    </row>
    <row r="10" customHeight="1" spans="1:6">
      <c r="A10" s="17">
        <v>3</v>
      </c>
      <c r="B10" s="25">
        <v>14</v>
      </c>
      <c r="C10" s="26">
        <v>10</v>
      </c>
      <c r="D10" s="27">
        <v>24</v>
      </c>
      <c r="F10" s="16">
        <v>0.416666666666667</v>
      </c>
    </row>
    <row r="11" customHeight="1" spans="1:6">
      <c r="A11" s="17">
        <v>4</v>
      </c>
      <c r="B11" s="25">
        <v>3</v>
      </c>
      <c r="C11" s="26">
        <v>6</v>
      </c>
      <c r="D11" s="27">
        <v>9</v>
      </c>
      <c r="F11" s="16">
        <v>0.666666666666667</v>
      </c>
    </row>
    <row r="12" customHeight="1" spans="1:6">
      <c r="A12" s="17">
        <v>5</v>
      </c>
      <c r="B12" s="18">
        <v>1</v>
      </c>
      <c r="C12" s="19"/>
      <c r="D12" s="20">
        <v>1</v>
      </c>
      <c r="F12" s="16">
        <v>0</v>
      </c>
    </row>
    <row r="13" customHeight="1" spans="1:6">
      <c r="A13" s="21" t="s">
        <v>1172</v>
      </c>
      <c r="B13" s="22">
        <v>685</v>
      </c>
      <c r="C13" s="23">
        <v>315</v>
      </c>
      <c r="D13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1175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39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 t="s">
        <v>56</v>
      </c>
      <c r="B7" s="13">
        <v>221</v>
      </c>
      <c r="C7" s="14">
        <v>141</v>
      </c>
      <c r="D7" s="15">
        <v>362</v>
      </c>
      <c r="F7" s="16">
        <v>0.389502762430939</v>
      </c>
    </row>
    <row r="8" customHeight="1" spans="1:6">
      <c r="A8" s="17" t="s">
        <v>62</v>
      </c>
      <c r="B8" s="18">
        <v>464</v>
      </c>
      <c r="C8" s="19">
        <v>174</v>
      </c>
      <c r="D8" s="20">
        <v>638</v>
      </c>
      <c r="F8" s="16">
        <v>0.272727272727273</v>
      </c>
    </row>
    <row r="9" customHeight="1" spans="1:6">
      <c r="A9" s="21" t="s">
        <v>1172</v>
      </c>
      <c r="B9" s="22">
        <v>685</v>
      </c>
      <c r="C9" s="23">
        <v>315</v>
      </c>
      <c r="D9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1176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32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 t="s">
        <v>65</v>
      </c>
      <c r="B7" s="13">
        <v>105</v>
      </c>
      <c r="C7" s="14">
        <v>44</v>
      </c>
      <c r="D7" s="15">
        <v>149</v>
      </c>
      <c r="F7" s="16">
        <v>0.295302013422819</v>
      </c>
    </row>
    <row r="8" customHeight="1" spans="1:6">
      <c r="A8" s="17" t="s">
        <v>76</v>
      </c>
      <c r="B8" s="25">
        <v>119</v>
      </c>
      <c r="C8" s="26">
        <v>56</v>
      </c>
      <c r="D8" s="27">
        <v>175</v>
      </c>
      <c r="F8" s="16">
        <v>0.32</v>
      </c>
    </row>
    <row r="9" customHeight="1" spans="1:6">
      <c r="A9" s="17" t="s">
        <v>69</v>
      </c>
      <c r="B9" s="25">
        <v>147</v>
      </c>
      <c r="C9" s="26">
        <v>68</v>
      </c>
      <c r="D9" s="27">
        <v>215</v>
      </c>
      <c r="F9" s="16">
        <v>0.316279069767442</v>
      </c>
    </row>
    <row r="10" customHeight="1" spans="1:6">
      <c r="A10" s="17" t="s">
        <v>61</v>
      </c>
      <c r="B10" s="25">
        <v>165</v>
      </c>
      <c r="C10" s="26">
        <v>63</v>
      </c>
      <c r="D10" s="27">
        <v>228</v>
      </c>
      <c r="F10" s="16">
        <v>0.276315789473684</v>
      </c>
    </row>
    <row r="11" customHeight="1" spans="1:6">
      <c r="A11" s="17" t="s">
        <v>117</v>
      </c>
      <c r="B11" s="25">
        <v>9</v>
      </c>
      <c r="C11" s="26">
        <v>6</v>
      </c>
      <c r="D11" s="27">
        <v>15</v>
      </c>
      <c r="F11" s="16">
        <v>0.4</v>
      </c>
    </row>
    <row r="12" customHeight="1" spans="1:6">
      <c r="A12" s="17" t="s">
        <v>54</v>
      </c>
      <c r="B12" s="18">
        <v>140</v>
      </c>
      <c r="C12" s="19">
        <v>78</v>
      </c>
      <c r="D12" s="20">
        <v>218</v>
      </c>
      <c r="F12" s="16">
        <v>0.357798165137615</v>
      </c>
    </row>
    <row r="13" customHeight="1" spans="1:6">
      <c r="A13" s="21" t="s">
        <v>1172</v>
      </c>
      <c r="B13" s="22">
        <v>685</v>
      </c>
      <c r="C13" s="23">
        <v>315</v>
      </c>
      <c r="D13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11.537037037037" defaultRowHeight="12.8" customHeight="1" outlineLevelCol="5"/>
  <cols>
    <col min="6" max="6" width="16" style="1" customWidth="1"/>
  </cols>
  <sheetData>
    <row r="1" ht="13.8" customHeight="1" spans="1:6">
      <c r="A1" s="2" t="s">
        <v>1177</v>
      </c>
    </row>
    <row r="3" customHeight="1" spans="1:6">
      <c r="A3" t="s">
        <v>1170</v>
      </c>
    </row>
    <row r="5" customHeight="1" spans="1:6">
      <c r="A5" s="3" t="s">
        <v>1171</v>
      </c>
      <c r="B5" s="4" t="s">
        <v>33</v>
      </c>
      <c r="C5" s="5"/>
      <c r="D5" s="6"/>
    </row>
    <row r="6" customHeight="1" spans="1:6">
      <c r="A6" s="7" t="s">
        <v>47</v>
      </c>
      <c r="B6" s="8" t="s">
        <v>58</v>
      </c>
      <c r="C6" s="9" t="s">
        <v>55</v>
      </c>
      <c r="D6" s="10" t="s">
        <v>1172</v>
      </c>
      <c r="F6" s="11" t="s">
        <v>1073</v>
      </c>
    </row>
    <row r="7" customHeight="1" spans="1:6">
      <c r="A7" s="12">
        <v>0</v>
      </c>
      <c r="B7" s="13">
        <v>390</v>
      </c>
      <c r="C7" s="14">
        <v>156</v>
      </c>
      <c r="D7" s="15">
        <v>546</v>
      </c>
      <c r="F7" s="16">
        <v>0.285714285714286</v>
      </c>
    </row>
    <row r="8" customHeight="1" spans="1:6">
      <c r="A8" s="17">
        <v>1</v>
      </c>
      <c r="B8" s="18">
        <v>295</v>
      </c>
      <c r="C8" s="19">
        <v>159</v>
      </c>
      <c r="D8" s="20">
        <v>454</v>
      </c>
      <c r="F8" s="16">
        <v>0.350220264317181</v>
      </c>
    </row>
    <row r="9" customHeight="1" spans="1:6">
      <c r="A9" s="21" t="s">
        <v>1172</v>
      </c>
      <c r="B9" s="22">
        <v>685</v>
      </c>
      <c r="C9" s="23">
        <v>315</v>
      </c>
      <c r="D9" s="24">
        <v>1000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Summary_Dashboard</vt:lpstr>
      <vt:lpstr>Cleaned_Data</vt:lpstr>
      <vt:lpstr>Churn_by_Plan</vt:lpstr>
      <vt:lpstr>Churn_by_Tenure</vt:lpstr>
      <vt:lpstr>Complaint_Analysis</vt:lpstr>
      <vt:lpstr>Payment_Behavior</vt:lpstr>
      <vt:lpstr>Regional_Comparison</vt:lpstr>
      <vt:lpstr>Customer_Segments</vt:lpstr>
      <vt:lpstr>Formula_Analysis</vt:lpstr>
      <vt:lpstr>Feature_Importance</vt:lpstr>
      <vt:lpstr>Read_Me</vt:lpstr>
      <vt:lpstr>Pivot_Churn_Plan</vt:lpstr>
      <vt:lpstr>Pivot_Churn_Tenure</vt:lpstr>
      <vt:lpstr>Pivot_Complaints</vt:lpstr>
      <vt:lpstr>Pivot_Payment</vt:lpstr>
      <vt:lpstr>Pivot_Region</vt:lpstr>
      <vt:lpstr>Pivot_Segments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Kavipriya P</cp:lastModifiedBy>
  <cp:revision>1</cp:revision>
  <dcterms:created xsi:type="dcterms:W3CDTF">2026-10-13T06:22:00Z</dcterms:created>
  <dcterms:modified xsi:type="dcterms:W3CDTF">2026-10-13T10:22:26Z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43BBE40A976B45B2A80D9D86EB9FC877_12</vt:lpwstr>
  </property>
  <property fmtid="{D5CDD505-2E9C-101B-9397-08002B2CF9AE}" pid="4" name="KSOProductBuildVer">
    <vt:lpwstr>1033-12.1.0.29162</vt:lpwstr>
  </property>
</Properties>
</file>